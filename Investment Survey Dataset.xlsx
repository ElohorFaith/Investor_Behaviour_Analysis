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ElohorEfere\Documents\DATA ANALYTICS\INVESTMENT SURVEY PORTFOLIO\"/>
    </mc:Choice>
  </mc:AlternateContent>
  <xr:revisionPtr revIDLastSave="0" documentId="13_ncr:1_{55529285-2770-49F3-9BF1-45179E637BD5}" xr6:coauthVersionLast="47" xr6:coauthVersionMax="47" xr10:uidLastSave="{00000000-0000-0000-0000-000000000000}"/>
  <bookViews>
    <workbookView xWindow="-108" yWindow="-108" windowWidth="23256" windowHeight="12576" tabRatio="681" xr2:uid="{8CB70CFB-4D71-4F08-B7A9-0F01F771B8A9}"/>
  </bookViews>
  <sheets>
    <sheet name="investment_survey" sheetId="1" r:id="rId1"/>
    <sheet name="WORKSHEET" sheetId="2" r:id="rId2"/>
    <sheet name="INSTRUCTIONS" sheetId="5" r:id="rId3"/>
    <sheet name="Finding 1" sheetId="4" r:id="rId4"/>
    <sheet name="Finding 2" sheetId="7" r:id="rId5"/>
    <sheet name="Findind 3" sheetId="8" r:id="rId6"/>
    <sheet name="Finding 4" sheetId="9" r:id="rId7"/>
    <sheet name="Finding 5" sheetId="10" r:id="rId8"/>
    <sheet name="Finding 6" sheetId="12" r:id="rId9"/>
    <sheet name="Finding 7" sheetId="13" r:id="rId10"/>
    <sheet name="Finding 8" sheetId="15" r:id="rId11"/>
    <sheet name="Finding 9" sheetId="16" r:id="rId12"/>
    <sheet name="Finding 10" sheetId="18" r:id="rId13"/>
  </sheets>
  <definedNames>
    <definedName name="_xlnm._FilterDatabase" localSheetId="1" hidden="1">WORKSHEET!$A$1:$L$101</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alcChain>
</file>

<file path=xl/sharedStrings.xml><?xml version="1.0" encoding="utf-8"?>
<sst xmlns="http://schemas.openxmlformats.org/spreadsheetml/2006/main" count="1147" uniqueCount="108">
  <si>
    <t>Gender</t>
  </si>
  <si>
    <t>Age</t>
  </si>
  <si>
    <t>Working_professional</t>
  </si>
  <si>
    <t>Annual_income</t>
  </si>
  <si>
    <t>Mode_of_investment</t>
  </si>
  <si>
    <t>Investment_per_month</t>
  </si>
  <si>
    <t>Motivation_cause</t>
  </si>
  <si>
    <t>Resources_used</t>
  </si>
  <si>
    <t>Goal_for_investment</t>
  </si>
  <si>
    <t xml:space="preserve">Duration_to_save(in_Years) </t>
  </si>
  <si>
    <t>Male</t>
  </si>
  <si>
    <t>Banking - RD, FD</t>
  </si>
  <si>
    <t>Family member</t>
  </si>
  <si>
    <t>Family members/Friends</t>
  </si>
  <si>
    <t>Wealth generation</t>
  </si>
  <si>
    <t>Female</t>
  </si>
  <si>
    <t>Social media/ Articles</t>
  </si>
  <si>
    <t>Mobile applications</t>
  </si>
  <si>
    <t>Stocks - Intraday, long term</t>
  </si>
  <si>
    <t>News articles / Current affairs</t>
  </si>
  <si>
    <t>Planning for finacial freedom after Retirement</t>
  </si>
  <si>
    <t>Mutual Funds</t>
  </si>
  <si>
    <t>Agents/Investment brokers</t>
  </si>
  <si>
    <t xml:space="preserve">Self Interest </t>
  </si>
  <si>
    <t>Books</t>
  </si>
  <si>
    <t>Crypto currency</t>
  </si>
  <si>
    <t xml:space="preserve">Not prepared </t>
  </si>
  <si>
    <t>No one</t>
  </si>
  <si>
    <t>Gold / Any other Materialistic investment</t>
  </si>
  <si>
    <t>Personal Savings</t>
  </si>
  <si>
    <t>Friends</t>
  </si>
  <si>
    <t>Children's education/ Marriage</t>
  </si>
  <si>
    <t>Self</t>
  </si>
  <si>
    <t>Regarding your / Your Siblings marriage</t>
  </si>
  <si>
    <t>Through Bank</t>
  </si>
  <si>
    <t>Construction of own House / Buying a new Car</t>
  </si>
  <si>
    <t xml:space="preserve">Marketing </t>
  </si>
  <si>
    <t>Real estate, Bonds</t>
  </si>
  <si>
    <t xml:space="preserve">All the above </t>
  </si>
  <si>
    <t xml:space="preserve">Self motivation </t>
  </si>
  <si>
    <t>Tax saving</t>
  </si>
  <si>
    <t xml:space="preserve">Self </t>
  </si>
  <si>
    <t>Chit fund</t>
  </si>
  <si>
    <t>Brokers</t>
  </si>
  <si>
    <t>Schemes</t>
  </si>
  <si>
    <t>Investors in bank</t>
  </si>
  <si>
    <t>Replaced Nil values with 0</t>
  </si>
  <si>
    <t>Standardized Categorical  values</t>
  </si>
  <si>
    <t>Checked for missing values</t>
  </si>
  <si>
    <t>Checked for duplicate values</t>
  </si>
  <si>
    <t>Converted Investment per month, Annual Income and duration period to numeric values</t>
  </si>
  <si>
    <t>DATA CLEANING STEPS</t>
  </si>
  <si>
    <t>Dataset Description</t>
  </si>
  <si>
    <t>This research examines survey data to comprehend how different groups behave when making investments. To find important behavioural patterns, the analysis concentrates on income level, working professional, mode of investment, and investment objectives.</t>
  </si>
  <si>
    <t>Project Overview</t>
  </si>
  <si>
    <t>Gender:</t>
  </si>
  <si>
    <t>Age:</t>
  </si>
  <si>
    <t>Working_professional:</t>
  </si>
  <si>
    <t>Annual_income:</t>
  </si>
  <si>
    <t>Mode_of_investment:</t>
  </si>
  <si>
    <t>Investment_per_month:</t>
  </si>
  <si>
    <t>Motivation_cause:</t>
  </si>
  <si>
    <t>Resources_used:</t>
  </si>
  <si>
    <t>Goal_for_investment:</t>
  </si>
  <si>
    <t>Duration_to_save(in_Years) :</t>
  </si>
  <si>
    <t>Question 1:  Gender Distribution</t>
  </si>
  <si>
    <t>Row Labels</t>
  </si>
  <si>
    <t>Grand Total</t>
  </si>
  <si>
    <t>Count of Gender</t>
  </si>
  <si>
    <t xml:space="preserve">Insight: The dataset is dominated by the Male Gender which might affect investment trend. </t>
  </si>
  <si>
    <t>Question 2:  Working Status Distribution</t>
  </si>
  <si>
    <t>Working Status</t>
  </si>
  <si>
    <t>Insight: We have more of working professionals in the dataset compared to non-working professionals.</t>
  </si>
  <si>
    <t>Question 3:  What is the most preferred Mode of Investment?</t>
  </si>
  <si>
    <t>Invenstment Mode</t>
  </si>
  <si>
    <t>Insight: Investors tend to invest more on the Stocks market compared to other investment modes.</t>
  </si>
  <si>
    <t>Average of Investment_per_month</t>
  </si>
  <si>
    <t>Question 4:  Average investment per month by Gender?</t>
  </si>
  <si>
    <t>Average Investment_per_month</t>
  </si>
  <si>
    <t>Insight: The Male Gender Invest more per moth compared to the Female Gender.</t>
  </si>
  <si>
    <t>Question 5:  Average investment per month by Working Status?</t>
  </si>
  <si>
    <t>Insight: The average monthly investment of the participants who are not employed is somewhat higher than that of working professionals.</t>
  </si>
  <si>
    <t>Income_band</t>
  </si>
  <si>
    <t>Question 6:  Average Investment by Income Level?</t>
  </si>
  <si>
    <t>HIGH INCOME</t>
  </si>
  <si>
    <t>LOW INCOME</t>
  </si>
  <si>
    <t>MIDDLE INCOME</t>
  </si>
  <si>
    <t>Insight: The average monthly investments for higher income categories are continuously greater, indicating a positive income-investment relationship.</t>
  </si>
  <si>
    <t>Count of Motivation_cause</t>
  </si>
  <si>
    <t>Self Interest</t>
  </si>
  <si>
    <t>Insight: Family member and Friends are the highest motivation cause of Investment.</t>
  </si>
  <si>
    <t>Question 8:  What are the Investment Goals?</t>
  </si>
  <si>
    <t>Question 7: What are the Investment Motivations?</t>
  </si>
  <si>
    <t>Investment Goal</t>
  </si>
  <si>
    <t>Other</t>
  </si>
  <si>
    <t>Insight: Wealth Generation is the dominant reason for Investment</t>
  </si>
  <si>
    <t>Question 10:  Does an investor Age influence his/her  Investment Goal?</t>
  </si>
  <si>
    <t>Investment Goals</t>
  </si>
  <si>
    <t>Duration(Years)</t>
  </si>
  <si>
    <t>Insight: Savings duration is highly influenced by investment objectives. While personal savings and wealth creation objectives are more evenly spread over short to medium term durations, individuals who are focused on retirement planning typically choose longer investment goals.</t>
  </si>
  <si>
    <t>Age_group</t>
  </si>
  <si>
    <t>Middle Investors</t>
  </si>
  <si>
    <t>Old Investors</t>
  </si>
  <si>
    <t>Very Old Investors</t>
  </si>
  <si>
    <t>Young Investors</t>
  </si>
  <si>
    <t>Age Groups</t>
  </si>
  <si>
    <t>Question 9:  Does the Investment Goal influence Investment Duration?</t>
  </si>
  <si>
    <t>Insight: According to the data, different age groups have different investment intentions. While middle-aged investors start adding long-term, family-oriented goals like retirement planning and children's education, younger investors prioritize personal savings and wealth creation. However, because of the small sample size, findings for very old investors are constrained.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</si>
</sst>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Segoe UI"/>
      <family val="2"/>
    </font>
    <font>
      <sz val="12"/>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 fontId="0" fillId="0" borderId="0" xfId="0" applyNumberFormat="1"/>
    <xf numFmtId="0" fontId="16" fillId="0" borderId="0" xfId="0" applyFont="1"/>
    <xf numFmtId="1" fontId="16" fillId="0" borderId="0" xfId="0" applyNumberFormat="1" applyFont="1"/>
    <xf numFmtId="0" fontId="18" fillId="0" borderId="0" xfId="0" applyFont="1" applyAlignment="1">
      <alignment vertical="center"/>
    </xf>
    <xf numFmtId="0" fontId="19" fillId="0" borderId="0" xfId="0" applyFont="1"/>
    <xf numFmtId="0" fontId="20" fillId="0" borderId="0" xfId="0" applyFont="1"/>
    <xf numFmtId="1" fontId="20" fillId="0" borderId="0" xfId="0" applyNumberFormat="1" applyFont="1"/>
    <xf numFmtId="0" fontId="19" fillId="0" borderId="0" xfId="0" pivotButton="1" applyFont="1"/>
    <xf numFmtId="0" fontId="19" fillId="0" borderId="0" xfId="0" applyFont="1" applyAlignment="1">
      <alignment horizontal="left"/>
    </xf>
    <xf numFmtId="1" fontId="19" fillId="0" borderId="0" xfId="0" applyNumberFormat="1" applyFont="1"/>
    <xf numFmtId="1" fontId="16" fillId="34" borderId="0" xfId="0" applyNumberFormat="1" applyFont="1" applyFill="1"/>
    <xf numFmtId="1" fontId="0" fillId="34" borderId="0" xfId="0" applyNumberFormat="1" applyFill="1"/>
    <xf numFmtId="9" fontId="19" fillId="0" borderId="0" xfId="0" applyNumberFormat="1" applyFont="1"/>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fill>
        <patternFill>
          <bgColor rgb="FF92D050"/>
        </patternFill>
      </fill>
    </dxf>
    <dxf>
      <fill>
        <patternFill>
          <bgColor rgb="FF92D050"/>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1!PivotTable1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Male vs Female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'Finding 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96-4F19-9860-C682462382C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96-4F19-9860-C682462382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 1'!$A$4:$A$6</c:f>
              <c:strCache>
                <c:ptCount val="2"/>
                <c:pt idx="0">
                  <c:v>Female</c:v>
                </c:pt>
                <c:pt idx="1">
                  <c:v>Male</c:v>
                </c:pt>
              </c:strCache>
            </c:strRef>
          </c:cat>
          <c:val>
            <c:numRef>
              <c:f>'Finding 1'!$B$4:$B$6</c:f>
              <c:numCache>
                <c:formatCode>General</c:formatCode>
                <c:ptCount val="2"/>
                <c:pt idx="0">
                  <c:v>36</c:v>
                </c:pt>
                <c:pt idx="1">
                  <c:v>64</c:v>
                </c:pt>
              </c:numCache>
            </c:numRef>
          </c:val>
          <c:extLst>
            <c:ext xmlns:c16="http://schemas.microsoft.com/office/drawing/2014/chart" uri="{C3380CC4-5D6E-409C-BE32-E72D297353CC}">
              <c16:uniqueId val="{00000000-F0AD-417C-BDF8-FAC252E730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Working</a:t>
            </a:r>
            <a:r>
              <a:rPr lang="en-US" baseline="0"/>
              <a:t> Status</a:t>
            </a:r>
          </a:p>
          <a:p>
            <a:pPr>
              <a:defRPr/>
            </a:pPr>
            <a:endParaRPr lang="en-US"/>
          </a:p>
        </c:rich>
      </c:tx>
      <c:layout>
        <c:manualLayout>
          <c:xMode val="edge"/>
          <c:yMode val="edge"/>
          <c:x val="0.35031933508311464"/>
          <c:y val="0.1563867016622922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'Finding 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'Finding 2'!$A$4:$A$6</c:f>
              <c:strCache>
                <c:ptCount val="2"/>
                <c:pt idx="0">
                  <c:v>0</c:v>
                </c:pt>
                <c:pt idx="1">
                  <c:v>1</c:v>
                </c:pt>
              </c:strCache>
            </c:strRef>
          </c:cat>
          <c:val>
            <c:numRef>
              <c:f>'Finding 2'!$B$4:$B$6</c:f>
              <c:numCache>
                <c:formatCode>General</c:formatCode>
                <c:ptCount val="2"/>
                <c:pt idx="0">
                  <c:v>41</c:v>
                </c:pt>
                <c:pt idx="1">
                  <c:v>59</c:v>
                </c:pt>
              </c:numCache>
            </c:numRef>
          </c:val>
          <c:extLst>
            <c:ext xmlns:c16="http://schemas.microsoft.com/office/drawing/2014/chart" uri="{C3380CC4-5D6E-409C-BE32-E72D297353CC}">
              <c16:uniqueId val="{00000000-15C4-4082-8CB3-91E8BC71B0E6}"/>
            </c:ext>
          </c:extLst>
        </c:ser>
        <c:dLbls>
          <c:dLblPos val="ctr"/>
          <c:showLegendKey val="0"/>
          <c:showVal val="1"/>
          <c:showCatName val="0"/>
          <c:showSerName val="0"/>
          <c:showPercent val="0"/>
          <c:showBubbleSize val="0"/>
        </c:dLbls>
        <c:gapWidth val="150"/>
        <c:overlap val="100"/>
        <c:axId val="1038886048"/>
        <c:axId val="1038889408"/>
      </c:barChart>
      <c:catAx>
        <c:axId val="10388860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8889408"/>
        <c:crosses val="autoZero"/>
        <c:auto val="1"/>
        <c:lblAlgn val="ctr"/>
        <c:lblOffset val="100"/>
        <c:noMultiLvlLbl val="0"/>
      </c:catAx>
      <c:valAx>
        <c:axId val="103888940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388860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Dataset.xlsx]Findind 3!PivotTable3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Investment</a:t>
            </a:r>
            <a:r>
              <a:rPr lang="en-US" baseline="0"/>
              <a:t> mode</a:t>
            </a:r>
            <a:endParaRPr lang="en-US"/>
          </a:p>
        </c:rich>
      </c:tx>
      <c:layout>
        <c:manualLayout>
          <c:xMode val="edge"/>
          <c:yMode val="edge"/>
          <c:x val="0.28807633420822398"/>
          <c:y val="0.1144424254660475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'Findind 3'!$B$3</c:f>
              <c:strCache>
                <c:ptCount val="1"/>
                <c:pt idx="0">
                  <c:v>Total</c:v>
                </c:pt>
              </c:strCache>
            </c:strRef>
          </c:tx>
          <c:spPr>
            <a:pattFill prst="ltUpDiag">
              <a:fgClr>
                <a:schemeClr val="accent1"/>
              </a:fgClr>
              <a:bgClr>
                <a:schemeClr val="lt1"/>
              </a:bgClr>
            </a:pattFill>
            <a:ln>
              <a:noFill/>
            </a:ln>
            <a:effectLst/>
          </c:spPr>
          <c:invertIfNegative val="0"/>
          <c:cat>
            <c:strRef>
              <c:f>'Findind 3'!$A$4:$A$13</c:f>
              <c:strCache>
                <c:ptCount val="9"/>
                <c:pt idx="0">
                  <c:v>Marketing </c:v>
                </c:pt>
                <c:pt idx="1">
                  <c:v>Chit fund</c:v>
                </c:pt>
                <c:pt idx="2">
                  <c:v>Not prepared </c:v>
                </c:pt>
                <c:pt idx="3">
                  <c:v>Crypto currency</c:v>
                </c:pt>
                <c:pt idx="4">
                  <c:v>Real estate, Bonds</c:v>
                </c:pt>
                <c:pt idx="5">
                  <c:v>Gold / Any other Materialistic investment</c:v>
                </c:pt>
                <c:pt idx="6">
                  <c:v>Banking - RD, FD</c:v>
                </c:pt>
                <c:pt idx="7">
                  <c:v>Mutual Funds</c:v>
                </c:pt>
                <c:pt idx="8">
                  <c:v>Stocks - Intraday, long term</c:v>
                </c:pt>
              </c:strCache>
            </c:strRef>
          </c:cat>
          <c:val>
            <c:numRef>
              <c:f>'Findind 3'!$B$4:$B$13</c:f>
              <c:numCache>
                <c:formatCode>General</c:formatCode>
                <c:ptCount val="9"/>
                <c:pt idx="0">
                  <c:v>1</c:v>
                </c:pt>
                <c:pt idx="1">
                  <c:v>1</c:v>
                </c:pt>
                <c:pt idx="2">
                  <c:v>1</c:v>
                </c:pt>
                <c:pt idx="3">
                  <c:v>4</c:v>
                </c:pt>
                <c:pt idx="4">
                  <c:v>4</c:v>
                </c:pt>
                <c:pt idx="5">
                  <c:v>11</c:v>
                </c:pt>
                <c:pt idx="6">
                  <c:v>23</c:v>
                </c:pt>
                <c:pt idx="7">
                  <c:v>26</c:v>
                </c:pt>
                <c:pt idx="8">
                  <c:v>29</c:v>
                </c:pt>
              </c:numCache>
            </c:numRef>
          </c:val>
          <c:extLst>
            <c:ext xmlns:c16="http://schemas.microsoft.com/office/drawing/2014/chart" uri="{C3380CC4-5D6E-409C-BE32-E72D297353CC}">
              <c16:uniqueId val="{00000000-AB85-41B0-982C-78DAD1F652FD}"/>
            </c:ext>
          </c:extLst>
        </c:ser>
        <c:dLbls>
          <c:showLegendKey val="0"/>
          <c:showVal val="0"/>
          <c:showCatName val="0"/>
          <c:showSerName val="0"/>
          <c:showPercent val="0"/>
          <c:showBubbleSize val="0"/>
        </c:dLbls>
        <c:gapWidth val="269"/>
        <c:overlap val="-20"/>
        <c:axId val="1038880288"/>
        <c:axId val="1038904288"/>
      </c:barChart>
      <c:catAx>
        <c:axId val="1038880288"/>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38904288"/>
        <c:crosses val="autoZero"/>
        <c:auto val="1"/>
        <c:lblAlgn val="ctr"/>
        <c:lblOffset val="100"/>
        <c:noMultiLvlLbl val="0"/>
      </c:catAx>
      <c:valAx>
        <c:axId val="10389042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888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Investment Per Month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'Finding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23-4A88-B1AB-BE587A11FE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23-4A88-B1AB-BE587A11FEA8}"/>
              </c:ext>
            </c:extLst>
          </c:dPt>
          <c:cat>
            <c:strRef>
              <c:f>'Finding 4'!$A$4:$A$6</c:f>
              <c:strCache>
                <c:ptCount val="2"/>
                <c:pt idx="0">
                  <c:v>Female</c:v>
                </c:pt>
                <c:pt idx="1">
                  <c:v>Male</c:v>
                </c:pt>
              </c:strCache>
            </c:strRef>
          </c:cat>
          <c:val>
            <c:numRef>
              <c:f>'Finding 4'!$B$4:$B$6</c:f>
              <c:numCache>
                <c:formatCode>0</c:formatCode>
                <c:ptCount val="2"/>
                <c:pt idx="0">
                  <c:v>2325</c:v>
                </c:pt>
                <c:pt idx="1">
                  <c:v>3165.78125</c:v>
                </c:pt>
              </c:numCache>
            </c:numRef>
          </c:val>
          <c:extLst>
            <c:ext xmlns:c16="http://schemas.microsoft.com/office/drawing/2014/chart" uri="{C3380CC4-5D6E-409C-BE32-E72D297353CC}">
              <c16:uniqueId val="{00000000-2639-4FCC-84B0-DA8A53F5BA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5!PivotTable5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Investment by Working Status</a:t>
            </a:r>
          </a:p>
        </c:rich>
      </c:tx>
      <c:layout>
        <c:manualLayout>
          <c:xMode val="edge"/>
          <c:yMode val="edge"/>
          <c:x val="0.26704855643044617"/>
          <c:y val="0.1239792942548848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'Finding 5'!$A$4:$A$6</c:f>
              <c:strCache>
                <c:ptCount val="2"/>
                <c:pt idx="0">
                  <c:v>0</c:v>
                </c:pt>
                <c:pt idx="1">
                  <c:v>1</c:v>
                </c:pt>
              </c:strCache>
            </c:strRef>
          </c:cat>
          <c:val>
            <c:numRef>
              <c:f>'Finding 5'!$B$4:$B$6</c:f>
              <c:numCache>
                <c:formatCode>0</c:formatCode>
                <c:ptCount val="2"/>
                <c:pt idx="0">
                  <c:v>3002.439024390244</c:v>
                </c:pt>
                <c:pt idx="1">
                  <c:v>2766.2711864406779</c:v>
                </c:pt>
              </c:numCache>
            </c:numRef>
          </c:val>
          <c:extLst>
            <c:ext xmlns:c16="http://schemas.microsoft.com/office/drawing/2014/chart" uri="{C3380CC4-5D6E-409C-BE32-E72D297353CC}">
              <c16:uniqueId val="{00000000-693C-42F3-89D4-0291F7645072}"/>
            </c:ext>
          </c:extLst>
        </c:ser>
        <c:dLbls>
          <c:dLblPos val="inEnd"/>
          <c:showLegendKey val="0"/>
          <c:showVal val="1"/>
          <c:showCatName val="0"/>
          <c:showSerName val="0"/>
          <c:showPercent val="0"/>
          <c:showBubbleSize val="0"/>
        </c:dLbls>
        <c:gapWidth val="65"/>
        <c:axId val="929910384"/>
        <c:axId val="929929104"/>
      </c:barChart>
      <c:catAx>
        <c:axId val="9299103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9929104"/>
        <c:crosses val="autoZero"/>
        <c:auto val="1"/>
        <c:lblAlgn val="ctr"/>
        <c:lblOffset val="100"/>
        <c:noMultiLvlLbl val="0"/>
      </c:catAx>
      <c:valAx>
        <c:axId val="929929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299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Investment by Income Level</a:t>
            </a:r>
            <a:endParaRPr lang="en-US" b="1"/>
          </a:p>
        </c:rich>
      </c:tx>
      <c:layout>
        <c:manualLayout>
          <c:xMode val="edge"/>
          <c:yMode val="edge"/>
          <c:x val="9.0326334208223988E-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'Finding 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8E-4BA9-A35F-1F15B670AB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8E-4BA9-A35F-1F15B670AB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8E-4BA9-A35F-1F15B670AB37}"/>
              </c:ext>
            </c:extLst>
          </c:dPt>
          <c:cat>
            <c:strRef>
              <c:f>'Finding 6'!$A$4:$A$7</c:f>
              <c:strCache>
                <c:ptCount val="3"/>
                <c:pt idx="0">
                  <c:v>HIGH INCOME</c:v>
                </c:pt>
                <c:pt idx="1">
                  <c:v>LOW INCOME</c:v>
                </c:pt>
                <c:pt idx="2">
                  <c:v>MIDDLE INCOME</c:v>
                </c:pt>
              </c:strCache>
            </c:strRef>
          </c:cat>
          <c:val>
            <c:numRef>
              <c:f>'Finding 6'!$B$4:$B$7</c:f>
              <c:numCache>
                <c:formatCode>0</c:formatCode>
                <c:ptCount val="3"/>
                <c:pt idx="0">
                  <c:v>6750</c:v>
                </c:pt>
                <c:pt idx="1">
                  <c:v>2026.3934426229507</c:v>
                </c:pt>
                <c:pt idx="2">
                  <c:v>4032.4324324324325</c:v>
                </c:pt>
              </c:numCache>
            </c:numRef>
          </c:val>
          <c:extLst>
            <c:ext xmlns:c16="http://schemas.microsoft.com/office/drawing/2014/chart" uri="{C3380CC4-5D6E-409C-BE32-E72D297353CC}">
              <c16:uniqueId val="{00000000-73B3-4B2B-AC40-B686971C49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7!PivotTable2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Motivation Cause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'Finding 7'!$A$4:$A$12</c:f>
              <c:strCache>
                <c:ptCount val="8"/>
                <c:pt idx="0">
                  <c:v>Family member</c:v>
                </c:pt>
                <c:pt idx="1">
                  <c:v>Friends</c:v>
                </c:pt>
                <c:pt idx="2">
                  <c:v>Social media/ Articles</c:v>
                </c:pt>
                <c:pt idx="3">
                  <c:v>Through Bank</c:v>
                </c:pt>
                <c:pt idx="4">
                  <c:v>Agents/Investment brokers</c:v>
                </c:pt>
                <c:pt idx="5">
                  <c:v>Self Interest</c:v>
                </c:pt>
                <c:pt idx="6">
                  <c:v>Schemes</c:v>
                </c:pt>
                <c:pt idx="7">
                  <c:v>No one</c:v>
                </c:pt>
              </c:strCache>
            </c:strRef>
          </c:cat>
          <c:val>
            <c:numRef>
              <c:f>'Finding 7'!$B$4:$B$12</c:f>
              <c:numCache>
                <c:formatCode>General</c:formatCode>
                <c:ptCount val="8"/>
                <c:pt idx="0">
                  <c:v>24</c:v>
                </c:pt>
                <c:pt idx="1">
                  <c:v>24</c:v>
                </c:pt>
                <c:pt idx="2">
                  <c:v>18</c:v>
                </c:pt>
                <c:pt idx="3">
                  <c:v>15</c:v>
                </c:pt>
                <c:pt idx="4">
                  <c:v>10</c:v>
                </c:pt>
                <c:pt idx="5">
                  <c:v>7</c:v>
                </c:pt>
                <c:pt idx="6">
                  <c:v>1</c:v>
                </c:pt>
                <c:pt idx="7">
                  <c:v>1</c:v>
                </c:pt>
              </c:numCache>
            </c:numRef>
          </c:val>
          <c:extLst>
            <c:ext xmlns:c16="http://schemas.microsoft.com/office/drawing/2014/chart" uri="{C3380CC4-5D6E-409C-BE32-E72D297353CC}">
              <c16:uniqueId val="{00000000-D664-40CD-A373-DBC47B9F9DA3}"/>
            </c:ext>
          </c:extLst>
        </c:ser>
        <c:dLbls>
          <c:dLblPos val="outEnd"/>
          <c:showLegendKey val="0"/>
          <c:showVal val="1"/>
          <c:showCatName val="0"/>
          <c:showSerName val="0"/>
          <c:showPercent val="0"/>
          <c:showBubbleSize val="0"/>
        </c:dLbls>
        <c:gapWidth val="65"/>
        <c:axId val="147633039"/>
        <c:axId val="149244287"/>
      </c:barChart>
      <c:catAx>
        <c:axId val="14763303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244287"/>
        <c:crosses val="autoZero"/>
        <c:auto val="1"/>
        <c:lblAlgn val="ctr"/>
        <c:lblOffset val="100"/>
        <c:noMultiLvlLbl val="0"/>
      </c:catAx>
      <c:valAx>
        <c:axId val="149244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6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8!PivotTable4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Investment</a:t>
            </a:r>
            <a:r>
              <a:rPr lang="en-US" baseline="0"/>
              <a:t> Goals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'Finding 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8'!$A$4:$A$12</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8'!$B$4:$B$12</c:f>
              <c:numCache>
                <c:formatCode>General</c:formatCode>
                <c:ptCount val="8"/>
                <c:pt idx="0">
                  <c:v>28</c:v>
                </c:pt>
                <c:pt idx="1">
                  <c:v>26</c:v>
                </c:pt>
                <c:pt idx="2">
                  <c:v>12</c:v>
                </c:pt>
                <c:pt idx="3">
                  <c:v>10</c:v>
                </c:pt>
                <c:pt idx="4">
                  <c:v>9</c:v>
                </c:pt>
                <c:pt idx="5">
                  <c:v>8</c:v>
                </c:pt>
                <c:pt idx="6">
                  <c:v>6</c:v>
                </c:pt>
                <c:pt idx="7">
                  <c:v>1</c:v>
                </c:pt>
              </c:numCache>
            </c:numRef>
          </c:val>
          <c:extLst>
            <c:ext xmlns:c16="http://schemas.microsoft.com/office/drawing/2014/chart" uri="{C3380CC4-5D6E-409C-BE32-E72D297353CC}">
              <c16:uniqueId val="{00000000-3E53-478D-987E-306D302B2476}"/>
            </c:ext>
          </c:extLst>
        </c:ser>
        <c:dLbls>
          <c:showLegendKey val="0"/>
          <c:showVal val="0"/>
          <c:showCatName val="0"/>
          <c:showSerName val="0"/>
          <c:showPercent val="0"/>
          <c:showBubbleSize val="0"/>
        </c:dLbls>
        <c:gapWidth val="150"/>
        <c:overlap val="100"/>
        <c:axId val="719645168"/>
        <c:axId val="719650448"/>
      </c:barChart>
      <c:catAx>
        <c:axId val="719645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50448"/>
        <c:crosses val="autoZero"/>
        <c:auto val="1"/>
        <c:lblAlgn val="ctr"/>
        <c:lblOffset val="100"/>
        <c:noMultiLvlLbl val="0"/>
      </c:catAx>
      <c:valAx>
        <c:axId val="71965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4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9!PivotTable5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Investment Goal and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9'!$B$3:$B$4</c:f>
              <c:strCache>
                <c:ptCount val="1"/>
                <c:pt idx="0">
                  <c:v>0</c:v>
                </c:pt>
              </c:strCache>
            </c:strRef>
          </c:tx>
          <c:spPr>
            <a:solidFill>
              <a:schemeClr val="accent1"/>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9'!$B$5:$B$13</c:f>
              <c:numCache>
                <c:formatCode>General</c:formatCode>
                <c:ptCount val="8"/>
                <c:pt idx="4">
                  <c:v>1</c:v>
                </c:pt>
              </c:numCache>
            </c:numRef>
          </c:val>
          <c:extLst>
            <c:ext xmlns:c16="http://schemas.microsoft.com/office/drawing/2014/chart" uri="{C3380CC4-5D6E-409C-BE32-E72D297353CC}">
              <c16:uniqueId val="{00000000-D705-450D-BB5D-AA531FCB9B82}"/>
            </c:ext>
          </c:extLst>
        </c:ser>
        <c:ser>
          <c:idx val="1"/>
          <c:order val="1"/>
          <c:tx>
            <c:strRef>
              <c:f>'Finding 9'!$C$3:$C$4</c:f>
              <c:strCache>
                <c:ptCount val="1"/>
                <c:pt idx="0">
                  <c:v>1</c:v>
                </c:pt>
              </c:strCache>
            </c:strRef>
          </c:tx>
          <c:spPr>
            <a:solidFill>
              <a:schemeClr val="accent2"/>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9'!$C$5:$C$13</c:f>
              <c:numCache>
                <c:formatCode>General</c:formatCode>
                <c:ptCount val="8"/>
                <c:pt idx="1">
                  <c:v>2</c:v>
                </c:pt>
                <c:pt idx="2">
                  <c:v>1</c:v>
                </c:pt>
              </c:numCache>
            </c:numRef>
          </c:val>
          <c:extLst>
            <c:ext xmlns:c16="http://schemas.microsoft.com/office/drawing/2014/chart" uri="{C3380CC4-5D6E-409C-BE32-E72D297353CC}">
              <c16:uniqueId val="{00000001-D705-450D-BB5D-AA531FCB9B82}"/>
            </c:ext>
          </c:extLst>
        </c:ser>
        <c:ser>
          <c:idx val="2"/>
          <c:order val="2"/>
          <c:tx>
            <c:strRef>
              <c:f>'Finding 9'!$D$3:$D$4</c:f>
              <c:strCache>
                <c:ptCount val="1"/>
                <c:pt idx="0">
                  <c:v>2</c:v>
                </c:pt>
              </c:strCache>
            </c:strRef>
          </c:tx>
          <c:spPr>
            <a:solidFill>
              <a:schemeClr val="accent3"/>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9'!$D$5:$D$13</c:f>
              <c:numCache>
                <c:formatCode>General</c:formatCode>
                <c:ptCount val="8"/>
                <c:pt idx="1">
                  <c:v>4</c:v>
                </c:pt>
                <c:pt idx="2">
                  <c:v>1</c:v>
                </c:pt>
                <c:pt idx="4">
                  <c:v>1</c:v>
                </c:pt>
              </c:numCache>
            </c:numRef>
          </c:val>
          <c:extLst>
            <c:ext xmlns:c16="http://schemas.microsoft.com/office/drawing/2014/chart" uri="{C3380CC4-5D6E-409C-BE32-E72D297353CC}">
              <c16:uniqueId val="{00000002-D705-450D-BB5D-AA531FCB9B82}"/>
            </c:ext>
          </c:extLst>
        </c:ser>
        <c:ser>
          <c:idx val="3"/>
          <c:order val="3"/>
          <c:tx>
            <c:strRef>
              <c:f>'Finding 9'!$E$3:$E$4</c:f>
              <c:strCache>
                <c:ptCount val="1"/>
                <c:pt idx="0">
                  <c:v>3</c:v>
                </c:pt>
              </c:strCache>
            </c:strRef>
          </c:tx>
          <c:spPr>
            <a:solidFill>
              <a:schemeClr val="accent4"/>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9'!$E$5:$E$13</c:f>
              <c:numCache>
                <c:formatCode>General</c:formatCode>
                <c:ptCount val="8"/>
                <c:pt idx="0">
                  <c:v>1</c:v>
                </c:pt>
                <c:pt idx="5">
                  <c:v>2</c:v>
                </c:pt>
                <c:pt idx="7">
                  <c:v>1</c:v>
                </c:pt>
              </c:numCache>
            </c:numRef>
          </c:val>
          <c:extLst>
            <c:ext xmlns:c16="http://schemas.microsoft.com/office/drawing/2014/chart" uri="{C3380CC4-5D6E-409C-BE32-E72D297353CC}">
              <c16:uniqueId val="{00000003-D705-450D-BB5D-AA531FCB9B82}"/>
            </c:ext>
          </c:extLst>
        </c:ser>
        <c:ser>
          <c:idx val="4"/>
          <c:order val="4"/>
          <c:tx>
            <c:strRef>
              <c:f>'Finding 9'!$F$3:$F$4</c:f>
              <c:strCache>
                <c:ptCount val="1"/>
                <c:pt idx="0">
                  <c:v>4</c:v>
                </c:pt>
              </c:strCache>
            </c:strRef>
          </c:tx>
          <c:spPr>
            <a:solidFill>
              <a:schemeClr val="accent5"/>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9'!$F$5:$F$13</c:f>
              <c:numCache>
                <c:formatCode>General</c:formatCode>
                <c:ptCount val="8"/>
                <c:pt idx="0">
                  <c:v>2</c:v>
                </c:pt>
                <c:pt idx="1">
                  <c:v>1</c:v>
                </c:pt>
                <c:pt idx="2">
                  <c:v>1</c:v>
                </c:pt>
                <c:pt idx="5">
                  <c:v>1</c:v>
                </c:pt>
                <c:pt idx="6">
                  <c:v>1</c:v>
                </c:pt>
              </c:numCache>
            </c:numRef>
          </c:val>
          <c:extLst>
            <c:ext xmlns:c16="http://schemas.microsoft.com/office/drawing/2014/chart" uri="{C3380CC4-5D6E-409C-BE32-E72D297353CC}">
              <c16:uniqueId val="{00000004-D705-450D-BB5D-AA531FCB9B82}"/>
            </c:ext>
          </c:extLst>
        </c:ser>
        <c:ser>
          <c:idx val="5"/>
          <c:order val="5"/>
          <c:tx>
            <c:strRef>
              <c:f>'Finding 9'!$G$3:$G$4</c:f>
              <c:strCache>
                <c:ptCount val="1"/>
                <c:pt idx="0">
                  <c:v>5</c:v>
                </c:pt>
              </c:strCache>
            </c:strRef>
          </c:tx>
          <c:spPr>
            <a:solidFill>
              <a:schemeClr val="accent6"/>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9'!$G$5:$G$13</c:f>
              <c:numCache>
                <c:formatCode>General</c:formatCode>
                <c:ptCount val="8"/>
                <c:pt idx="0">
                  <c:v>4</c:v>
                </c:pt>
                <c:pt idx="1">
                  <c:v>8</c:v>
                </c:pt>
                <c:pt idx="3">
                  <c:v>3</c:v>
                </c:pt>
                <c:pt idx="4">
                  <c:v>1</c:v>
                </c:pt>
                <c:pt idx="5">
                  <c:v>3</c:v>
                </c:pt>
                <c:pt idx="6">
                  <c:v>1</c:v>
                </c:pt>
              </c:numCache>
            </c:numRef>
          </c:val>
          <c:extLst>
            <c:ext xmlns:c16="http://schemas.microsoft.com/office/drawing/2014/chart" uri="{C3380CC4-5D6E-409C-BE32-E72D297353CC}">
              <c16:uniqueId val="{00000005-D705-450D-BB5D-AA531FCB9B82}"/>
            </c:ext>
          </c:extLst>
        </c:ser>
        <c:ser>
          <c:idx val="6"/>
          <c:order val="6"/>
          <c:tx>
            <c:strRef>
              <c:f>'Finding 9'!$H$3:$H$4</c:f>
              <c:strCache>
                <c:ptCount val="1"/>
                <c:pt idx="0">
                  <c:v>6</c:v>
                </c:pt>
              </c:strCache>
            </c:strRef>
          </c:tx>
          <c:spPr>
            <a:solidFill>
              <a:schemeClr val="accent1">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9'!$H$5:$H$13</c:f>
              <c:numCache>
                <c:formatCode>General</c:formatCode>
                <c:ptCount val="8"/>
                <c:pt idx="0">
                  <c:v>2</c:v>
                </c:pt>
                <c:pt idx="1">
                  <c:v>3</c:v>
                </c:pt>
                <c:pt idx="5">
                  <c:v>1</c:v>
                </c:pt>
              </c:numCache>
            </c:numRef>
          </c:val>
          <c:extLst>
            <c:ext xmlns:c16="http://schemas.microsoft.com/office/drawing/2014/chart" uri="{C3380CC4-5D6E-409C-BE32-E72D297353CC}">
              <c16:uniqueId val="{00000006-D705-450D-BB5D-AA531FCB9B82}"/>
            </c:ext>
          </c:extLst>
        </c:ser>
        <c:ser>
          <c:idx val="7"/>
          <c:order val="7"/>
          <c:tx>
            <c:strRef>
              <c:f>'Finding 9'!$I$3:$I$4</c:f>
              <c:strCache>
                <c:ptCount val="1"/>
                <c:pt idx="0">
                  <c:v>7</c:v>
                </c:pt>
              </c:strCache>
            </c:strRef>
          </c:tx>
          <c:spPr>
            <a:solidFill>
              <a:schemeClr val="accent2">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9'!$I$5:$I$13</c:f>
              <c:numCache>
                <c:formatCode>General</c:formatCode>
                <c:ptCount val="8"/>
                <c:pt idx="0">
                  <c:v>2</c:v>
                </c:pt>
                <c:pt idx="1">
                  <c:v>1</c:v>
                </c:pt>
              </c:numCache>
            </c:numRef>
          </c:val>
          <c:extLst>
            <c:ext xmlns:c16="http://schemas.microsoft.com/office/drawing/2014/chart" uri="{C3380CC4-5D6E-409C-BE32-E72D297353CC}">
              <c16:uniqueId val="{00000007-D705-450D-BB5D-AA531FCB9B82}"/>
            </c:ext>
          </c:extLst>
        </c:ser>
        <c:ser>
          <c:idx val="8"/>
          <c:order val="8"/>
          <c:tx>
            <c:strRef>
              <c:f>'Finding 9'!$J$3:$J$4</c:f>
              <c:strCache>
                <c:ptCount val="1"/>
                <c:pt idx="0">
                  <c:v>8</c:v>
                </c:pt>
              </c:strCache>
            </c:strRef>
          </c:tx>
          <c:spPr>
            <a:solidFill>
              <a:schemeClr val="accent3">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9'!$J$5:$J$13</c:f>
              <c:numCache>
                <c:formatCode>General</c:formatCode>
                <c:ptCount val="8"/>
                <c:pt idx="0">
                  <c:v>6</c:v>
                </c:pt>
                <c:pt idx="1">
                  <c:v>1</c:v>
                </c:pt>
                <c:pt idx="6">
                  <c:v>1</c:v>
                </c:pt>
              </c:numCache>
            </c:numRef>
          </c:val>
          <c:extLst>
            <c:ext xmlns:c16="http://schemas.microsoft.com/office/drawing/2014/chart" uri="{C3380CC4-5D6E-409C-BE32-E72D297353CC}">
              <c16:uniqueId val="{00000008-D705-450D-BB5D-AA531FCB9B82}"/>
            </c:ext>
          </c:extLst>
        </c:ser>
        <c:ser>
          <c:idx val="9"/>
          <c:order val="9"/>
          <c:tx>
            <c:strRef>
              <c:f>'Finding 9'!$K$3:$K$4</c:f>
              <c:strCache>
                <c:ptCount val="1"/>
                <c:pt idx="0">
                  <c:v>9</c:v>
                </c:pt>
              </c:strCache>
            </c:strRef>
          </c:tx>
          <c:spPr>
            <a:solidFill>
              <a:schemeClr val="accent4">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9'!$K$5:$K$13</c:f>
              <c:numCache>
                <c:formatCode>General</c:formatCode>
                <c:ptCount val="8"/>
                <c:pt idx="2">
                  <c:v>1</c:v>
                </c:pt>
              </c:numCache>
            </c:numRef>
          </c:val>
          <c:extLst>
            <c:ext xmlns:c16="http://schemas.microsoft.com/office/drawing/2014/chart" uri="{C3380CC4-5D6E-409C-BE32-E72D297353CC}">
              <c16:uniqueId val="{00000009-D705-450D-BB5D-AA531FCB9B82}"/>
            </c:ext>
          </c:extLst>
        </c:ser>
        <c:ser>
          <c:idx val="10"/>
          <c:order val="10"/>
          <c:tx>
            <c:strRef>
              <c:f>'Finding 9'!$L$3:$L$4</c:f>
              <c:strCache>
                <c:ptCount val="1"/>
                <c:pt idx="0">
                  <c:v>10</c:v>
                </c:pt>
              </c:strCache>
            </c:strRef>
          </c:tx>
          <c:spPr>
            <a:solidFill>
              <a:schemeClr val="accent5">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9'!$L$5:$L$13</c:f>
              <c:numCache>
                <c:formatCode>General</c:formatCode>
                <c:ptCount val="8"/>
                <c:pt idx="0">
                  <c:v>9</c:v>
                </c:pt>
                <c:pt idx="1">
                  <c:v>6</c:v>
                </c:pt>
                <c:pt idx="2">
                  <c:v>3</c:v>
                </c:pt>
                <c:pt idx="3">
                  <c:v>5</c:v>
                </c:pt>
                <c:pt idx="4">
                  <c:v>4</c:v>
                </c:pt>
                <c:pt idx="5">
                  <c:v>1</c:v>
                </c:pt>
                <c:pt idx="6">
                  <c:v>2</c:v>
                </c:pt>
              </c:numCache>
            </c:numRef>
          </c:val>
          <c:extLst>
            <c:ext xmlns:c16="http://schemas.microsoft.com/office/drawing/2014/chart" uri="{C3380CC4-5D6E-409C-BE32-E72D297353CC}">
              <c16:uniqueId val="{0000000A-D705-450D-BB5D-AA531FCB9B82}"/>
            </c:ext>
          </c:extLst>
        </c:ser>
        <c:ser>
          <c:idx val="11"/>
          <c:order val="11"/>
          <c:tx>
            <c:strRef>
              <c:f>'Finding 9'!$M$3:$M$4</c:f>
              <c:strCache>
                <c:ptCount val="1"/>
                <c:pt idx="0">
                  <c:v>15</c:v>
                </c:pt>
              </c:strCache>
            </c:strRef>
          </c:tx>
          <c:spPr>
            <a:solidFill>
              <a:schemeClr val="accent6">
                <a:lumMod val="6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9'!$M$5:$M$13</c:f>
              <c:numCache>
                <c:formatCode>General</c:formatCode>
                <c:ptCount val="8"/>
                <c:pt idx="0">
                  <c:v>1</c:v>
                </c:pt>
                <c:pt idx="2">
                  <c:v>4</c:v>
                </c:pt>
                <c:pt idx="3">
                  <c:v>2</c:v>
                </c:pt>
                <c:pt idx="4">
                  <c:v>2</c:v>
                </c:pt>
              </c:numCache>
            </c:numRef>
          </c:val>
          <c:extLst>
            <c:ext xmlns:c16="http://schemas.microsoft.com/office/drawing/2014/chart" uri="{C3380CC4-5D6E-409C-BE32-E72D297353CC}">
              <c16:uniqueId val="{0000000B-D705-450D-BB5D-AA531FCB9B82}"/>
            </c:ext>
          </c:extLst>
        </c:ser>
        <c:ser>
          <c:idx val="12"/>
          <c:order val="12"/>
          <c:tx>
            <c:strRef>
              <c:f>'Finding 9'!$N$3:$N$4</c:f>
              <c:strCache>
                <c:ptCount val="1"/>
                <c:pt idx="0">
                  <c:v>20</c:v>
                </c:pt>
              </c:strCache>
            </c:strRef>
          </c:tx>
          <c:spPr>
            <a:solidFill>
              <a:schemeClr val="accent1">
                <a:lumMod val="80000"/>
                <a:lumOff val="2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9'!$N$5:$N$13</c:f>
              <c:numCache>
                <c:formatCode>General</c:formatCode>
                <c:ptCount val="8"/>
                <c:pt idx="0">
                  <c:v>1</c:v>
                </c:pt>
              </c:numCache>
            </c:numRef>
          </c:val>
          <c:extLst>
            <c:ext xmlns:c16="http://schemas.microsoft.com/office/drawing/2014/chart" uri="{C3380CC4-5D6E-409C-BE32-E72D297353CC}">
              <c16:uniqueId val="{0000000C-D705-450D-BB5D-AA531FCB9B82}"/>
            </c:ext>
          </c:extLst>
        </c:ser>
        <c:ser>
          <c:idx val="13"/>
          <c:order val="13"/>
          <c:tx>
            <c:strRef>
              <c:f>'Finding 9'!$O$3:$O$4</c:f>
              <c:strCache>
                <c:ptCount val="1"/>
                <c:pt idx="0">
                  <c:v>21</c:v>
                </c:pt>
              </c:strCache>
            </c:strRef>
          </c:tx>
          <c:spPr>
            <a:solidFill>
              <a:schemeClr val="accent2">
                <a:lumMod val="80000"/>
                <a:lumOff val="2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9'!$O$5:$O$13</c:f>
              <c:numCache>
                <c:formatCode>General</c:formatCode>
                <c:ptCount val="8"/>
                <c:pt idx="6">
                  <c:v>1</c:v>
                </c:pt>
              </c:numCache>
            </c:numRef>
          </c:val>
          <c:extLst>
            <c:ext xmlns:c16="http://schemas.microsoft.com/office/drawing/2014/chart" uri="{C3380CC4-5D6E-409C-BE32-E72D297353CC}">
              <c16:uniqueId val="{0000000D-D705-450D-BB5D-AA531FCB9B82}"/>
            </c:ext>
          </c:extLst>
        </c:ser>
        <c:ser>
          <c:idx val="14"/>
          <c:order val="14"/>
          <c:tx>
            <c:strRef>
              <c:f>'Finding 9'!$P$3:$P$4</c:f>
              <c:strCache>
                <c:ptCount val="1"/>
                <c:pt idx="0">
                  <c:v>25</c:v>
                </c:pt>
              </c:strCache>
            </c:strRef>
          </c:tx>
          <c:spPr>
            <a:solidFill>
              <a:schemeClr val="accent3">
                <a:lumMod val="80000"/>
                <a:lumOff val="20000"/>
              </a:schemeClr>
            </a:solidFill>
            <a:ln>
              <a:noFill/>
            </a:ln>
            <a:effectLst/>
          </c:spPr>
          <c:invertIfNegative val="0"/>
          <c:cat>
            <c:strRef>
              <c:f>'Finding 9'!$A$5:$A$13</c:f>
              <c:strCache>
                <c:ptCount val="8"/>
                <c:pt idx="0">
                  <c:v>Wealth generation</c:v>
                </c:pt>
                <c:pt idx="1">
                  <c:v>Personal Savings</c:v>
                </c:pt>
                <c:pt idx="2">
                  <c:v>Planning for finacial freedom after Retirement</c:v>
                </c:pt>
                <c:pt idx="3">
                  <c:v>Construction of own House / Buying a new Car</c:v>
                </c:pt>
                <c:pt idx="4">
                  <c:v>Children's education/ Marriage</c:v>
                </c:pt>
                <c:pt idx="5">
                  <c:v>Regarding your / Your Siblings marriage</c:v>
                </c:pt>
                <c:pt idx="6">
                  <c:v>Tax saving</c:v>
                </c:pt>
                <c:pt idx="7">
                  <c:v>Other</c:v>
                </c:pt>
              </c:strCache>
            </c:strRef>
          </c:cat>
          <c:val>
            <c:numRef>
              <c:f>'Finding 9'!$P$5:$P$13</c:f>
              <c:numCache>
                <c:formatCode>General</c:formatCode>
                <c:ptCount val="8"/>
                <c:pt idx="2">
                  <c:v>1</c:v>
                </c:pt>
              </c:numCache>
            </c:numRef>
          </c:val>
          <c:extLst>
            <c:ext xmlns:c16="http://schemas.microsoft.com/office/drawing/2014/chart" uri="{C3380CC4-5D6E-409C-BE32-E72D297353CC}">
              <c16:uniqueId val="{0000000E-D705-450D-BB5D-AA531FCB9B82}"/>
            </c:ext>
          </c:extLst>
        </c:ser>
        <c:dLbls>
          <c:showLegendKey val="0"/>
          <c:showVal val="0"/>
          <c:showCatName val="0"/>
          <c:showSerName val="0"/>
          <c:showPercent val="0"/>
          <c:showBubbleSize val="0"/>
        </c:dLbls>
        <c:gapWidth val="219"/>
        <c:overlap val="-27"/>
        <c:axId val="722327920"/>
        <c:axId val="722303440"/>
      </c:barChart>
      <c:catAx>
        <c:axId val="72232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03440"/>
        <c:crosses val="autoZero"/>
        <c:auto val="1"/>
        <c:lblAlgn val="ctr"/>
        <c:lblOffset val="100"/>
        <c:noMultiLvlLbl val="0"/>
      </c:catAx>
      <c:valAx>
        <c:axId val="7223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Survey Dataset.xlsx]Finding 10!PivotTable2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Influence on Investment Goal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10'!$B$3:$B$4</c:f>
              <c:strCache>
                <c:ptCount val="1"/>
                <c:pt idx="0">
                  <c:v>Children's education/ Marriage</c:v>
                </c:pt>
              </c:strCache>
            </c:strRef>
          </c:tx>
          <c:spPr>
            <a:solidFill>
              <a:schemeClr val="accent1"/>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10'!$B$5:$B$9</c:f>
              <c:numCache>
                <c:formatCode>0%</c:formatCode>
                <c:ptCount val="4"/>
                <c:pt idx="0">
                  <c:v>6.6666666666666666E-2</c:v>
                </c:pt>
                <c:pt idx="1">
                  <c:v>0.14285714285714285</c:v>
                </c:pt>
                <c:pt idx="2">
                  <c:v>0</c:v>
                </c:pt>
                <c:pt idx="3">
                  <c:v>0</c:v>
                </c:pt>
              </c:numCache>
            </c:numRef>
          </c:val>
          <c:extLst>
            <c:ext xmlns:c16="http://schemas.microsoft.com/office/drawing/2014/chart" uri="{C3380CC4-5D6E-409C-BE32-E72D297353CC}">
              <c16:uniqueId val="{00000000-7562-4685-89D6-8F90F57A0280}"/>
            </c:ext>
          </c:extLst>
        </c:ser>
        <c:ser>
          <c:idx val="1"/>
          <c:order val="1"/>
          <c:tx>
            <c:strRef>
              <c:f>'Finding 10'!$C$3:$C$4</c:f>
              <c:strCache>
                <c:ptCount val="1"/>
                <c:pt idx="0">
                  <c:v>Construction of own House / Buying a new Car</c:v>
                </c:pt>
              </c:strCache>
            </c:strRef>
          </c:tx>
          <c:spPr>
            <a:solidFill>
              <a:schemeClr val="accent2"/>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10'!$C$5:$C$9</c:f>
              <c:numCache>
                <c:formatCode>0%</c:formatCode>
                <c:ptCount val="4"/>
                <c:pt idx="0">
                  <c:v>0.13333333333333333</c:v>
                </c:pt>
                <c:pt idx="1">
                  <c:v>5.7142857142857141E-2</c:v>
                </c:pt>
                <c:pt idx="2">
                  <c:v>0</c:v>
                </c:pt>
                <c:pt idx="3">
                  <c:v>0</c:v>
                </c:pt>
              </c:numCache>
            </c:numRef>
          </c:val>
          <c:extLst>
            <c:ext xmlns:c16="http://schemas.microsoft.com/office/drawing/2014/chart" uri="{C3380CC4-5D6E-409C-BE32-E72D297353CC}">
              <c16:uniqueId val="{00000001-7562-4685-89D6-8F90F57A0280}"/>
            </c:ext>
          </c:extLst>
        </c:ser>
        <c:ser>
          <c:idx val="2"/>
          <c:order val="2"/>
          <c:tx>
            <c:strRef>
              <c:f>'Finding 10'!$D$3:$D$4</c:f>
              <c:strCache>
                <c:ptCount val="1"/>
                <c:pt idx="0">
                  <c:v>Other</c:v>
                </c:pt>
              </c:strCache>
            </c:strRef>
          </c:tx>
          <c:spPr>
            <a:solidFill>
              <a:schemeClr val="accent3"/>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10'!$D$5:$D$9</c:f>
              <c:numCache>
                <c:formatCode>0%</c:formatCode>
                <c:ptCount val="4"/>
                <c:pt idx="0">
                  <c:v>1.6666666666666666E-2</c:v>
                </c:pt>
                <c:pt idx="1">
                  <c:v>0</c:v>
                </c:pt>
                <c:pt idx="2">
                  <c:v>0</c:v>
                </c:pt>
                <c:pt idx="3">
                  <c:v>0</c:v>
                </c:pt>
              </c:numCache>
            </c:numRef>
          </c:val>
          <c:extLst>
            <c:ext xmlns:c16="http://schemas.microsoft.com/office/drawing/2014/chart" uri="{C3380CC4-5D6E-409C-BE32-E72D297353CC}">
              <c16:uniqueId val="{00000002-7562-4685-89D6-8F90F57A0280}"/>
            </c:ext>
          </c:extLst>
        </c:ser>
        <c:ser>
          <c:idx val="3"/>
          <c:order val="3"/>
          <c:tx>
            <c:strRef>
              <c:f>'Finding 10'!$E$3:$E$4</c:f>
              <c:strCache>
                <c:ptCount val="1"/>
                <c:pt idx="0">
                  <c:v>Personal Savings</c:v>
                </c:pt>
              </c:strCache>
            </c:strRef>
          </c:tx>
          <c:spPr>
            <a:solidFill>
              <a:schemeClr val="accent4"/>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10'!$E$5:$E$9</c:f>
              <c:numCache>
                <c:formatCode>0%</c:formatCode>
                <c:ptCount val="4"/>
                <c:pt idx="0">
                  <c:v>0.31666666666666665</c:v>
                </c:pt>
                <c:pt idx="1">
                  <c:v>0.17142857142857143</c:v>
                </c:pt>
                <c:pt idx="2">
                  <c:v>0</c:v>
                </c:pt>
                <c:pt idx="3">
                  <c:v>0.5</c:v>
                </c:pt>
              </c:numCache>
            </c:numRef>
          </c:val>
          <c:extLst>
            <c:ext xmlns:c16="http://schemas.microsoft.com/office/drawing/2014/chart" uri="{C3380CC4-5D6E-409C-BE32-E72D297353CC}">
              <c16:uniqueId val="{00000003-7562-4685-89D6-8F90F57A0280}"/>
            </c:ext>
          </c:extLst>
        </c:ser>
        <c:ser>
          <c:idx val="4"/>
          <c:order val="4"/>
          <c:tx>
            <c:strRef>
              <c:f>'Finding 10'!$F$3:$F$4</c:f>
              <c:strCache>
                <c:ptCount val="1"/>
                <c:pt idx="0">
                  <c:v>Planning for finacial freedom after Retirement</c:v>
                </c:pt>
              </c:strCache>
            </c:strRef>
          </c:tx>
          <c:spPr>
            <a:solidFill>
              <a:schemeClr val="accent5"/>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10'!$F$5:$F$9</c:f>
              <c:numCache>
                <c:formatCode>0%</c:formatCode>
                <c:ptCount val="4"/>
                <c:pt idx="0">
                  <c:v>0.11666666666666667</c:v>
                </c:pt>
                <c:pt idx="1">
                  <c:v>0.11428571428571428</c:v>
                </c:pt>
                <c:pt idx="2">
                  <c:v>0</c:v>
                </c:pt>
                <c:pt idx="3">
                  <c:v>0.5</c:v>
                </c:pt>
              </c:numCache>
            </c:numRef>
          </c:val>
          <c:extLst>
            <c:ext xmlns:c16="http://schemas.microsoft.com/office/drawing/2014/chart" uri="{C3380CC4-5D6E-409C-BE32-E72D297353CC}">
              <c16:uniqueId val="{00000004-7562-4685-89D6-8F90F57A0280}"/>
            </c:ext>
          </c:extLst>
        </c:ser>
        <c:ser>
          <c:idx val="5"/>
          <c:order val="5"/>
          <c:tx>
            <c:strRef>
              <c:f>'Finding 10'!$G$3:$G$4</c:f>
              <c:strCache>
                <c:ptCount val="1"/>
                <c:pt idx="0">
                  <c:v>Regarding your / Your Siblings marriage</c:v>
                </c:pt>
              </c:strCache>
            </c:strRef>
          </c:tx>
          <c:spPr>
            <a:solidFill>
              <a:schemeClr val="accent6"/>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10'!$G$5:$G$9</c:f>
              <c:numCache>
                <c:formatCode>0%</c:formatCode>
                <c:ptCount val="4"/>
                <c:pt idx="0">
                  <c:v>6.6666666666666666E-2</c:v>
                </c:pt>
                <c:pt idx="1">
                  <c:v>0.11428571428571428</c:v>
                </c:pt>
                <c:pt idx="2">
                  <c:v>0</c:v>
                </c:pt>
                <c:pt idx="3">
                  <c:v>0</c:v>
                </c:pt>
              </c:numCache>
            </c:numRef>
          </c:val>
          <c:extLst>
            <c:ext xmlns:c16="http://schemas.microsoft.com/office/drawing/2014/chart" uri="{C3380CC4-5D6E-409C-BE32-E72D297353CC}">
              <c16:uniqueId val="{00000005-7562-4685-89D6-8F90F57A0280}"/>
            </c:ext>
          </c:extLst>
        </c:ser>
        <c:ser>
          <c:idx val="6"/>
          <c:order val="6"/>
          <c:tx>
            <c:strRef>
              <c:f>'Finding 10'!$H$3:$H$4</c:f>
              <c:strCache>
                <c:ptCount val="1"/>
                <c:pt idx="0">
                  <c:v>Tax saving</c:v>
                </c:pt>
              </c:strCache>
            </c:strRef>
          </c:tx>
          <c:spPr>
            <a:solidFill>
              <a:schemeClr val="accent1">
                <a:lumMod val="60000"/>
              </a:schemeClr>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10'!$H$5:$H$9</c:f>
              <c:numCache>
                <c:formatCode>0%</c:formatCode>
                <c:ptCount val="4"/>
                <c:pt idx="0">
                  <c:v>1.6666666666666666E-2</c:v>
                </c:pt>
                <c:pt idx="1">
                  <c:v>8.5714285714285715E-2</c:v>
                </c:pt>
                <c:pt idx="2">
                  <c:v>0.66666666666666663</c:v>
                </c:pt>
                <c:pt idx="3">
                  <c:v>0</c:v>
                </c:pt>
              </c:numCache>
            </c:numRef>
          </c:val>
          <c:extLst>
            <c:ext xmlns:c16="http://schemas.microsoft.com/office/drawing/2014/chart" uri="{C3380CC4-5D6E-409C-BE32-E72D297353CC}">
              <c16:uniqueId val="{00000006-7562-4685-89D6-8F90F57A0280}"/>
            </c:ext>
          </c:extLst>
        </c:ser>
        <c:ser>
          <c:idx val="7"/>
          <c:order val="7"/>
          <c:tx>
            <c:strRef>
              <c:f>'Finding 10'!$I$3:$I$4</c:f>
              <c:strCache>
                <c:ptCount val="1"/>
                <c:pt idx="0">
                  <c:v>Wealth generation</c:v>
                </c:pt>
              </c:strCache>
            </c:strRef>
          </c:tx>
          <c:spPr>
            <a:solidFill>
              <a:schemeClr val="accent2">
                <a:lumMod val="60000"/>
              </a:schemeClr>
            </a:solidFill>
            <a:ln>
              <a:noFill/>
            </a:ln>
            <a:effectLst/>
          </c:spPr>
          <c:invertIfNegative val="0"/>
          <c:cat>
            <c:strRef>
              <c:f>'Finding 10'!$A$5:$A$9</c:f>
              <c:strCache>
                <c:ptCount val="4"/>
                <c:pt idx="0">
                  <c:v>Young Investors</c:v>
                </c:pt>
                <c:pt idx="1">
                  <c:v>Middle Investors</c:v>
                </c:pt>
                <c:pt idx="2">
                  <c:v>Old Investors</c:v>
                </c:pt>
                <c:pt idx="3">
                  <c:v>Very Old Investors</c:v>
                </c:pt>
              </c:strCache>
            </c:strRef>
          </c:cat>
          <c:val>
            <c:numRef>
              <c:f>'Finding 10'!$I$5:$I$9</c:f>
              <c:numCache>
                <c:formatCode>0%</c:formatCode>
                <c:ptCount val="4"/>
                <c:pt idx="0">
                  <c:v>0.26666666666666666</c:v>
                </c:pt>
                <c:pt idx="1">
                  <c:v>0.31428571428571428</c:v>
                </c:pt>
                <c:pt idx="2">
                  <c:v>0.33333333333333331</c:v>
                </c:pt>
                <c:pt idx="3">
                  <c:v>0</c:v>
                </c:pt>
              </c:numCache>
            </c:numRef>
          </c:val>
          <c:extLst>
            <c:ext xmlns:c16="http://schemas.microsoft.com/office/drawing/2014/chart" uri="{C3380CC4-5D6E-409C-BE32-E72D297353CC}">
              <c16:uniqueId val="{00000007-7562-4685-89D6-8F90F57A0280}"/>
            </c:ext>
          </c:extLst>
        </c:ser>
        <c:dLbls>
          <c:showLegendKey val="0"/>
          <c:showVal val="0"/>
          <c:showCatName val="0"/>
          <c:showSerName val="0"/>
          <c:showPercent val="0"/>
          <c:showBubbleSize val="0"/>
        </c:dLbls>
        <c:gapWidth val="182"/>
        <c:axId val="500252255"/>
        <c:axId val="500249855"/>
      </c:barChart>
      <c:catAx>
        <c:axId val="500252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49855"/>
        <c:crosses val="autoZero"/>
        <c:auto val="1"/>
        <c:lblAlgn val="ctr"/>
        <c:lblOffset val="100"/>
        <c:noMultiLvlLbl val="0"/>
      </c:catAx>
      <c:valAx>
        <c:axId val="5002498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525780</xdr:colOff>
      <xdr:row>1</xdr:row>
      <xdr:rowOff>121920</xdr:rowOff>
    </xdr:from>
    <xdr:to>
      <xdr:col>10</xdr:col>
      <xdr:colOff>220980</xdr:colOff>
      <xdr:row>16</xdr:row>
      <xdr:rowOff>121920</xdr:rowOff>
    </xdr:to>
    <xdr:graphicFrame macro="">
      <xdr:nvGraphicFramePr>
        <xdr:cNvPr id="2" name="Chart 1">
          <a:extLst>
            <a:ext uri="{FF2B5EF4-FFF2-40B4-BE49-F238E27FC236}">
              <a16:creationId xmlns:a16="http://schemas.microsoft.com/office/drawing/2014/main" id="{978FB6E0-607E-BA64-095B-E61DCFDED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1</xdr:row>
      <xdr:rowOff>114300</xdr:rowOff>
    </xdr:from>
    <xdr:to>
      <xdr:col>10</xdr:col>
      <xdr:colOff>251460</xdr:colOff>
      <xdr:row>16</xdr:row>
      <xdr:rowOff>99060</xdr:rowOff>
    </xdr:to>
    <xdr:graphicFrame macro="">
      <xdr:nvGraphicFramePr>
        <xdr:cNvPr id="2" name="Chart 1">
          <a:extLst>
            <a:ext uri="{FF2B5EF4-FFF2-40B4-BE49-F238E27FC236}">
              <a16:creationId xmlns:a16="http://schemas.microsoft.com/office/drawing/2014/main" id="{CC15DA72-A746-C053-05F8-BCB6F6488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1</xdr:row>
      <xdr:rowOff>167640</xdr:rowOff>
    </xdr:from>
    <xdr:to>
      <xdr:col>10</xdr:col>
      <xdr:colOff>0</xdr:colOff>
      <xdr:row>16</xdr:row>
      <xdr:rowOff>167640</xdr:rowOff>
    </xdr:to>
    <xdr:graphicFrame macro="">
      <xdr:nvGraphicFramePr>
        <xdr:cNvPr id="2" name="Chart 1">
          <a:extLst>
            <a:ext uri="{FF2B5EF4-FFF2-40B4-BE49-F238E27FC236}">
              <a16:creationId xmlns:a16="http://schemas.microsoft.com/office/drawing/2014/main" id="{25F65A07-C947-0450-5F21-4EF909708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487680</xdr:colOff>
      <xdr:row>1</xdr:row>
      <xdr:rowOff>129540</xdr:rowOff>
    </xdr:from>
    <xdr:to>
      <xdr:col>10</xdr:col>
      <xdr:colOff>182880</xdr:colOff>
      <xdr:row>16</xdr:row>
      <xdr:rowOff>129540</xdr:rowOff>
    </xdr:to>
    <xdr:graphicFrame macro="">
      <xdr:nvGraphicFramePr>
        <xdr:cNvPr id="2" name="Chart 1">
          <a:extLst>
            <a:ext uri="{FF2B5EF4-FFF2-40B4-BE49-F238E27FC236}">
              <a16:creationId xmlns:a16="http://schemas.microsoft.com/office/drawing/2014/main" id="{D437EDF5-789C-86BA-19C1-190044667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1</xdr:row>
      <xdr:rowOff>129540</xdr:rowOff>
    </xdr:from>
    <xdr:to>
      <xdr:col>10</xdr:col>
      <xdr:colOff>259080</xdr:colOff>
      <xdr:row>16</xdr:row>
      <xdr:rowOff>129540</xdr:rowOff>
    </xdr:to>
    <xdr:graphicFrame macro="">
      <xdr:nvGraphicFramePr>
        <xdr:cNvPr id="2" name="Chart 1">
          <a:extLst>
            <a:ext uri="{FF2B5EF4-FFF2-40B4-BE49-F238E27FC236}">
              <a16:creationId xmlns:a16="http://schemas.microsoft.com/office/drawing/2014/main" id="{5FFF75CA-6867-793F-34E5-491836CF0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2</xdr:row>
      <xdr:rowOff>7620</xdr:rowOff>
    </xdr:from>
    <xdr:to>
      <xdr:col>10</xdr:col>
      <xdr:colOff>441960</xdr:colOff>
      <xdr:row>17</xdr:row>
      <xdr:rowOff>7620</xdr:rowOff>
    </xdr:to>
    <xdr:graphicFrame macro="">
      <xdr:nvGraphicFramePr>
        <xdr:cNvPr id="2" name="Chart 1">
          <a:extLst>
            <a:ext uri="{FF2B5EF4-FFF2-40B4-BE49-F238E27FC236}">
              <a16:creationId xmlns:a16="http://schemas.microsoft.com/office/drawing/2014/main" id="{079CC8C2-2218-B441-6850-4ADC66DBE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358140</xdr:colOff>
      <xdr:row>1</xdr:row>
      <xdr:rowOff>175260</xdr:rowOff>
    </xdr:from>
    <xdr:to>
      <xdr:col>10</xdr:col>
      <xdr:colOff>53340</xdr:colOff>
      <xdr:row>16</xdr:row>
      <xdr:rowOff>175260</xdr:rowOff>
    </xdr:to>
    <xdr:graphicFrame macro="">
      <xdr:nvGraphicFramePr>
        <xdr:cNvPr id="2" name="Chart 1">
          <a:extLst>
            <a:ext uri="{FF2B5EF4-FFF2-40B4-BE49-F238E27FC236}">
              <a16:creationId xmlns:a16="http://schemas.microsoft.com/office/drawing/2014/main" id="{737947FD-55D7-BFC9-7FA0-644F83E25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419100</xdr:colOff>
      <xdr:row>1</xdr:row>
      <xdr:rowOff>60960</xdr:rowOff>
    </xdr:from>
    <xdr:to>
      <xdr:col>11</xdr:col>
      <xdr:colOff>289560</xdr:colOff>
      <xdr:row>19</xdr:row>
      <xdr:rowOff>76200</xdr:rowOff>
    </xdr:to>
    <xdr:graphicFrame macro="">
      <xdr:nvGraphicFramePr>
        <xdr:cNvPr id="2" name="Chart 1">
          <a:extLst>
            <a:ext uri="{FF2B5EF4-FFF2-40B4-BE49-F238E27FC236}">
              <a16:creationId xmlns:a16="http://schemas.microsoft.com/office/drawing/2014/main" id="{8CFC497D-DAD0-ADC0-A66D-284817591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17</xdr:col>
      <xdr:colOff>198120</xdr:colOff>
      <xdr:row>0</xdr:row>
      <xdr:rowOff>99060</xdr:rowOff>
    </xdr:from>
    <xdr:to>
      <xdr:col>28</xdr:col>
      <xdr:colOff>365760</xdr:colOff>
      <xdr:row>15</xdr:row>
      <xdr:rowOff>83820</xdr:rowOff>
    </xdr:to>
    <xdr:graphicFrame macro="">
      <xdr:nvGraphicFramePr>
        <xdr:cNvPr id="2" name="Chart 1">
          <a:extLst>
            <a:ext uri="{FF2B5EF4-FFF2-40B4-BE49-F238E27FC236}">
              <a16:creationId xmlns:a16="http://schemas.microsoft.com/office/drawing/2014/main" id="{6FAFE0AE-7140-FC4B-EB23-4A60F5AA0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2141220</xdr:colOff>
      <xdr:row>9</xdr:row>
      <xdr:rowOff>19050</xdr:rowOff>
    </xdr:from>
    <xdr:to>
      <xdr:col>6</xdr:col>
      <xdr:colOff>1257300</xdr:colOff>
      <xdr:row>25</xdr:row>
      <xdr:rowOff>106680</xdr:rowOff>
    </xdr:to>
    <xdr:graphicFrame macro="">
      <xdr:nvGraphicFramePr>
        <xdr:cNvPr id="2" name="Chart 1">
          <a:extLst>
            <a:ext uri="{FF2B5EF4-FFF2-40B4-BE49-F238E27FC236}">
              <a16:creationId xmlns:a16="http://schemas.microsoft.com/office/drawing/2014/main" id="{CB39CBD0-7F60-4E6C-170C-9DBDDDCDC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ohor Efere" refreshedDate="46084.717378819441" createdVersion="8" refreshedVersion="8" minRefreshableVersion="3" recordCount="100" xr:uid="{4B43C13D-84C4-4920-B841-1208DBE75721}">
  <cacheSource type="worksheet">
    <worksheetSource ref="A1:L101" sheet="WORKSHEET"/>
  </cacheSource>
  <cacheFields count="12">
    <cacheField name="Gender" numFmtId="0">
      <sharedItems count="2">
        <s v="Male"/>
        <s v="Female"/>
      </sharedItems>
    </cacheField>
    <cacheField name="Age" numFmtId="1">
      <sharedItems containsSemiMixedTypes="0" containsString="0" containsNumber="1" containsInteger="1" minValue="18" maxValue="56"/>
    </cacheField>
    <cacheField name="Age_group" numFmtId="1">
      <sharedItems count="4">
        <s v="Young Investors"/>
        <s v="Middle Investors"/>
        <s v="Very Old Investors"/>
        <s v="Old Investors"/>
      </sharedItems>
    </cacheField>
    <cacheField name="Working_professional" numFmtId="0">
      <sharedItems containsSemiMixedTypes="0" containsString="0" containsNumber="1" containsInteger="1" minValue="0" maxValue="1" count="2">
        <n v="0"/>
        <n v="1"/>
      </sharedItems>
    </cacheField>
    <cacheField name="Annual_income" numFmtId="1">
      <sharedItems containsSemiMixedTypes="0" containsString="0" containsNumber="1" containsInteger="1" minValue="0" maxValue="600000"/>
    </cacheField>
    <cacheField name="Income_band" numFmtId="1">
      <sharedItems count="3">
        <s v="LOW INCOME"/>
        <s v="MIDDLE INCOME"/>
        <s v="HIGH INCOME"/>
      </sharedItems>
    </cacheField>
    <cacheField name="Mode_of_investment" numFmtId="0">
      <sharedItems count="9">
        <s v="Banking - RD, FD"/>
        <s v="Stocks - Intraday, long term"/>
        <s v="Mutual Funds"/>
        <s v="Crypto currency"/>
        <s v="Not prepared "/>
        <s v="Gold / Any other Materialistic investment"/>
        <s v="Marketing "/>
        <s v="Real estate, Bonds"/>
        <s v="Chit fund"/>
      </sharedItems>
    </cacheField>
    <cacheField name="Investment_per_month" numFmtId="1">
      <sharedItems containsSemiMixedTypes="0" containsString="0" containsNumber="1" containsInteger="1" minValue="0" maxValue="30000"/>
    </cacheField>
    <cacheField name="Motivation_cause" numFmtId="0">
      <sharedItems count="12">
        <s v="Family member"/>
        <s v="Social media/ Articles"/>
        <s v="Agents/Investment brokers"/>
        <s v="Self Interest"/>
        <s v="No one"/>
        <s v="Friends"/>
        <s v="Through Bank"/>
        <s v="Schemes"/>
        <s v="Self Interest " u="1"/>
        <s v="Self" u="1"/>
        <s v="Self motivation " u="1"/>
        <s v="Self " u="1"/>
      </sharedItems>
    </cacheField>
    <cacheField name="Resources_used" numFmtId="0">
      <sharedItems/>
    </cacheField>
    <cacheField name="Goal_for_investment" numFmtId="0">
      <sharedItems count="9">
        <s v="Wealth generation"/>
        <s v="Planning for finacial freedom after Retirement"/>
        <s v="Personal Savings"/>
        <s v="Children's education/ Marriage"/>
        <s v="Regarding your / Your Siblings marriage"/>
        <s v="Construction of own House / Buying a new Car"/>
        <s v="Other"/>
        <s v="Tax saving"/>
        <s v="All the above " u="1"/>
      </sharedItems>
    </cacheField>
    <cacheField name="Duration_to_save(in_Years) " numFmtId="1">
      <sharedItems containsSemiMixedTypes="0" containsString="0" containsNumber="1" containsInteger="1" minValue="0" maxValue="25" count="15">
        <n v="10"/>
        <n v="3"/>
        <n v="15"/>
        <n v="5"/>
        <n v="4"/>
        <n v="8"/>
        <n v="0"/>
        <n v="1"/>
        <n v="2"/>
        <n v="25"/>
        <n v="6"/>
        <n v="20"/>
        <n v="7"/>
        <n v="21"/>
        <n v="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19"/>
    <x v="0"/>
    <x v="0"/>
    <n v="0"/>
    <x v="0"/>
    <x v="0"/>
    <n v="200"/>
    <x v="0"/>
    <s v="Family members/Friends"/>
    <x v="0"/>
    <x v="0"/>
  </r>
  <r>
    <x v="1"/>
    <n v="24"/>
    <x v="0"/>
    <x v="0"/>
    <n v="0"/>
    <x v="0"/>
    <x v="0"/>
    <n v="1000"/>
    <x v="1"/>
    <s v="Mobile applications"/>
    <x v="0"/>
    <x v="1"/>
  </r>
  <r>
    <x v="0"/>
    <n v="24"/>
    <x v="0"/>
    <x v="1"/>
    <n v="400000"/>
    <x v="1"/>
    <x v="1"/>
    <n v="5000"/>
    <x v="1"/>
    <s v="News articles / Current affairs"/>
    <x v="1"/>
    <x v="0"/>
  </r>
  <r>
    <x v="0"/>
    <n v="22"/>
    <x v="0"/>
    <x v="1"/>
    <n v="150000"/>
    <x v="0"/>
    <x v="2"/>
    <n v="2000"/>
    <x v="2"/>
    <s v="News articles / Current affairs"/>
    <x v="0"/>
    <x v="0"/>
  </r>
  <r>
    <x v="0"/>
    <n v="25"/>
    <x v="0"/>
    <x v="1"/>
    <n v="250000"/>
    <x v="1"/>
    <x v="2"/>
    <n v="2000"/>
    <x v="3"/>
    <s v="Books"/>
    <x v="0"/>
    <x v="2"/>
  </r>
  <r>
    <x v="0"/>
    <n v="27"/>
    <x v="1"/>
    <x v="1"/>
    <n v="384000"/>
    <x v="1"/>
    <x v="3"/>
    <n v="3000"/>
    <x v="1"/>
    <s v="Social media/ Articles"/>
    <x v="0"/>
    <x v="3"/>
  </r>
  <r>
    <x v="0"/>
    <n v="24"/>
    <x v="0"/>
    <x v="1"/>
    <n v="150000"/>
    <x v="0"/>
    <x v="4"/>
    <n v="2000"/>
    <x v="4"/>
    <s v="Family members/Friends"/>
    <x v="1"/>
    <x v="2"/>
  </r>
  <r>
    <x v="1"/>
    <n v="22"/>
    <x v="0"/>
    <x v="0"/>
    <n v="0"/>
    <x v="0"/>
    <x v="5"/>
    <n v="500"/>
    <x v="0"/>
    <s v="Family members/Friends"/>
    <x v="2"/>
    <x v="0"/>
  </r>
  <r>
    <x v="1"/>
    <n v="25"/>
    <x v="0"/>
    <x v="0"/>
    <n v="0"/>
    <x v="0"/>
    <x v="0"/>
    <n v="2000"/>
    <x v="0"/>
    <s v="Family members/Friends"/>
    <x v="2"/>
    <x v="3"/>
  </r>
  <r>
    <x v="0"/>
    <n v="28"/>
    <x v="1"/>
    <x v="1"/>
    <n v="500000"/>
    <x v="2"/>
    <x v="1"/>
    <n v="5000"/>
    <x v="5"/>
    <s v="Mobile applications"/>
    <x v="0"/>
    <x v="0"/>
  </r>
  <r>
    <x v="1"/>
    <n v="35"/>
    <x v="1"/>
    <x v="0"/>
    <n v="0"/>
    <x v="0"/>
    <x v="0"/>
    <n v="2000"/>
    <x v="0"/>
    <s v="Family members/Friends"/>
    <x v="3"/>
    <x v="0"/>
  </r>
  <r>
    <x v="1"/>
    <n v="28"/>
    <x v="1"/>
    <x v="1"/>
    <n v="300000"/>
    <x v="1"/>
    <x v="5"/>
    <n v="5000"/>
    <x v="3"/>
    <s v="Family members/Friends"/>
    <x v="4"/>
    <x v="1"/>
  </r>
  <r>
    <x v="0"/>
    <n v="56"/>
    <x v="2"/>
    <x v="1"/>
    <n v="200000"/>
    <x v="0"/>
    <x v="2"/>
    <n v="1000"/>
    <x v="6"/>
    <s v="News articles / Current affairs"/>
    <x v="1"/>
    <x v="4"/>
  </r>
  <r>
    <x v="0"/>
    <n v="23"/>
    <x v="0"/>
    <x v="0"/>
    <n v="0"/>
    <x v="0"/>
    <x v="1"/>
    <n v="500"/>
    <x v="5"/>
    <s v="Mobile applications"/>
    <x v="5"/>
    <x v="2"/>
  </r>
  <r>
    <x v="1"/>
    <n v="19"/>
    <x v="0"/>
    <x v="0"/>
    <n v="0"/>
    <x v="0"/>
    <x v="0"/>
    <n v="1000"/>
    <x v="6"/>
    <s v="Books"/>
    <x v="2"/>
    <x v="0"/>
  </r>
  <r>
    <x v="0"/>
    <n v="31"/>
    <x v="1"/>
    <x v="1"/>
    <n v="200000"/>
    <x v="0"/>
    <x v="1"/>
    <n v="1000"/>
    <x v="1"/>
    <s v="Mobile applications"/>
    <x v="2"/>
    <x v="3"/>
  </r>
  <r>
    <x v="0"/>
    <n v="26"/>
    <x v="1"/>
    <x v="0"/>
    <n v="0"/>
    <x v="0"/>
    <x v="0"/>
    <n v="500"/>
    <x v="3"/>
    <s v="News articles / Current affairs"/>
    <x v="0"/>
    <x v="4"/>
  </r>
  <r>
    <x v="0"/>
    <n v="28"/>
    <x v="1"/>
    <x v="1"/>
    <n v="300000"/>
    <x v="1"/>
    <x v="2"/>
    <n v="2500"/>
    <x v="6"/>
    <s v="Family members/Friends"/>
    <x v="0"/>
    <x v="5"/>
  </r>
  <r>
    <x v="1"/>
    <n v="26"/>
    <x v="1"/>
    <x v="1"/>
    <n v="150000"/>
    <x v="0"/>
    <x v="0"/>
    <n v="1500"/>
    <x v="0"/>
    <s v="Family members/Friends"/>
    <x v="4"/>
    <x v="1"/>
  </r>
  <r>
    <x v="0"/>
    <n v="23"/>
    <x v="0"/>
    <x v="0"/>
    <n v="0"/>
    <x v="0"/>
    <x v="0"/>
    <n v="0"/>
    <x v="6"/>
    <s v="Books"/>
    <x v="3"/>
    <x v="6"/>
  </r>
  <r>
    <x v="0"/>
    <n v="20"/>
    <x v="0"/>
    <x v="0"/>
    <n v="0"/>
    <x v="0"/>
    <x v="0"/>
    <n v="5000"/>
    <x v="6"/>
    <s v="Books"/>
    <x v="2"/>
    <x v="7"/>
  </r>
  <r>
    <x v="0"/>
    <n v="18"/>
    <x v="0"/>
    <x v="0"/>
    <n v="360000"/>
    <x v="1"/>
    <x v="3"/>
    <n v="30000"/>
    <x v="5"/>
    <s v="Family members/Friends"/>
    <x v="3"/>
    <x v="8"/>
  </r>
  <r>
    <x v="0"/>
    <n v="23"/>
    <x v="0"/>
    <x v="1"/>
    <n v="0"/>
    <x v="0"/>
    <x v="1"/>
    <n v="10"/>
    <x v="1"/>
    <s v="Books"/>
    <x v="3"/>
    <x v="0"/>
  </r>
  <r>
    <x v="0"/>
    <n v="22"/>
    <x v="0"/>
    <x v="0"/>
    <n v="0"/>
    <x v="0"/>
    <x v="1"/>
    <n v="100"/>
    <x v="5"/>
    <s v="Mobile applications"/>
    <x v="5"/>
    <x v="0"/>
  </r>
  <r>
    <x v="0"/>
    <n v="18"/>
    <x v="0"/>
    <x v="0"/>
    <n v="0"/>
    <x v="0"/>
    <x v="0"/>
    <n v="5000"/>
    <x v="6"/>
    <s v="Family members/Friends"/>
    <x v="1"/>
    <x v="9"/>
  </r>
  <r>
    <x v="0"/>
    <n v="20"/>
    <x v="0"/>
    <x v="0"/>
    <n v="0"/>
    <x v="0"/>
    <x v="1"/>
    <n v="0"/>
    <x v="0"/>
    <s v="Family members/Friends"/>
    <x v="2"/>
    <x v="8"/>
  </r>
  <r>
    <x v="0"/>
    <n v="28"/>
    <x v="1"/>
    <x v="1"/>
    <n v="250000"/>
    <x v="1"/>
    <x v="1"/>
    <n v="1500"/>
    <x v="5"/>
    <s v="Mobile applications"/>
    <x v="0"/>
    <x v="4"/>
  </r>
  <r>
    <x v="0"/>
    <n v="23"/>
    <x v="0"/>
    <x v="0"/>
    <n v="0"/>
    <x v="0"/>
    <x v="1"/>
    <n v="10000"/>
    <x v="5"/>
    <s v="News articles / Current affairs"/>
    <x v="0"/>
    <x v="3"/>
  </r>
  <r>
    <x v="1"/>
    <n v="28"/>
    <x v="1"/>
    <x v="1"/>
    <n v="120000"/>
    <x v="0"/>
    <x v="2"/>
    <n v="1000"/>
    <x v="2"/>
    <s v="Family members/Friends"/>
    <x v="3"/>
    <x v="3"/>
  </r>
  <r>
    <x v="0"/>
    <n v="48"/>
    <x v="2"/>
    <x v="0"/>
    <n v="0"/>
    <x v="0"/>
    <x v="0"/>
    <n v="1000"/>
    <x v="5"/>
    <s v="Family members/Friends"/>
    <x v="2"/>
    <x v="3"/>
  </r>
  <r>
    <x v="0"/>
    <n v="23"/>
    <x v="0"/>
    <x v="0"/>
    <n v="0"/>
    <x v="0"/>
    <x v="1"/>
    <n v="20000"/>
    <x v="5"/>
    <s v="Family members/Friends"/>
    <x v="2"/>
    <x v="8"/>
  </r>
  <r>
    <x v="1"/>
    <n v="23"/>
    <x v="0"/>
    <x v="0"/>
    <n v="0"/>
    <x v="0"/>
    <x v="6"/>
    <n v="5000"/>
    <x v="5"/>
    <s v="Family members/Friends"/>
    <x v="1"/>
    <x v="8"/>
  </r>
  <r>
    <x v="1"/>
    <n v="23"/>
    <x v="0"/>
    <x v="1"/>
    <n v="150000"/>
    <x v="0"/>
    <x v="5"/>
    <n v="2000"/>
    <x v="0"/>
    <s v="Family members/Friends"/>
    <x v="4"/>
    <x v="4"/>
  </r>
  <r>
    <x v="1"/>
    <n v="26"/>
    <x v="1"/>
    <x v="1"/>
    <n v="300000"/>
    <x v="1"/>
    <x v="2"/>
    <n v="2000"/>
    <x v="2"/>
    <s v="Mobile applications"/>
    <x v="0"/>
    <x v="0"/>
  </r>
  <r>
    <x v="1"/>
    <n v="24"/>
    <x v="0"/>
    <x v="1"/>
    <n v="200000"/>
    <x v="0"/>
    <x v="7"/>
    <n v="3000"/>
    <x v="0"/>
    <s v="Family members/Friends"/>
    <x v="5"/>
    <x v="0"/>
  </r>
  <r>
    <x v="0"/>
    <n v="20"/>
    <x v="0"/>
    <x v="0"/>
    <n v="0"/>
    <x v="0"/>
    <x v="0"/>
    <n v="2000"/>
    <x v="0"/>
    <s v="Family members/Friends"/>
    <x v="2"/>
    <x v="10"/>
  </r>
  <r>
    <x v="0"/>
    <n v="19"/>
    <x v="0"/>
    <x v="0"/>
    <n v="0"/>
    <x v="0"/>
    <x v="1"/>
    <n v="5000"/>
    <x v="1"/>
    <s v="Mobile applications"/>
    <x v="2"/>
    <x v="3"/>
  </r>
  <r>
    <x v="0"/>
    <n v="20"/>
    <x v="0"/>
    <x v="0"/>
    <n v="80"/>
    <x v="0"/>
    <x v="1"/>
    <n v="1000"/>
    <x v="5"/>
    <s v="Family members/Friends"/>
    <x v="2"/>
    <x v="3"/>
  </r>
  <r>
    <x v="0"/>
    <n v="22"/>
    <x v="0"/>
    <x v="0"/>
    <n v="0"/>
    <x v="0"/>
    <x v="5"/>
    <n v="2000"/>
    <x v="5"/>
    <s v="Family members/Friends"/>
    <x v="6"/>
    <x v="1"/>
  </r>
  <r>
    <x v="0"/>
    <n v="21"/>
    <x v="0"/>
    <x v="1"/>
    <n v="120000"/>
    <x v="0"/>
    <x v="2"/>
    <n v="3000"/>
    <x v="2"/>
    <s v="Family members/Friends"/>
    <x v="5"/>
    <x v="0"/>
  </r>
  <r>
    <x v="1"/>
    <n v="30"/>
    <x v="1"/>
    <x v="1"/>
    <n v="180000"/>
    <x v="0"/>
    <x v="2"/>
    <n v="3000"/>
    <x v="0"/>
    <s v="Family members/Friends"/>
    <x v="2"/>
    <x v="0"/>
  </r>
  <r>
    <x v="1"/>
    <n v="45"/>
    <x v="3"/>
    <x v="1"/>
    <n v="200000"/>
    <x v="0"/>
    <x v="2"/>
    <n v="2000"/>
    <x v="3"/>
    <s v="Books"/>
    <x v="0"/>
    <x v="11"/>
  </r>
  <r>
    <x v="0"/>
    <n v="21"/>
    <x v="0"/>
    <x v="0"/>
    <n v="0"/>
    <x v="0"/>
    <x v="2"/>
    <n v="10000"/>
    <x v="0"/>
    <s v="Mobile applications"/>
    <x v="2"/>
    <x v="0"/>
  </r>
  <r>
    <x v="0"/>
    <n v="21"/>
    <x v="0"/>
    <x v="0"/>
    <n v="0"/>
    <x v="0"/>
    <x v="1"/>
    <n v="1000"/>
    <x v="5"/>
    <s v="Family members/Friends"/>
    <x v="1"/>
    <x v="7"/>
  </r>
  <r>
    <x v="1"/>
    <n v="22"/>
    <x v="0"/>
    <x v="0"/>
    <n v="0"/>
    <x v="0"/>
    <x v="0"/>
    <n v="2000"/>
    <x v="0"/>
    <s v="Family members/Friends"/>
    <x v="2"/>
    <x v="0"/>
  </r>
  <r>
    <x v="0"/>
    <n v="24"/>
    <x v="0"/>
    <x v="1"/>
    <n v="200000"/>
    <x v="0"/>
    <x v="1"/>
    <n v="1000"/>
    <x v="5"/>
    <s v="Mobile applications"/>
    <x v="2"/>
    <x v="0"/>
  </r>
  <r>
    <x v="1"/>
    <n v="22"/>
    <x v="0"/>
    <x v="0"/>
    <n v="0"/>
    <x v="0"/>
    <x v="0"/>
    <n v="500"/>
    <x v="0"/>
    <s v="Family members/Friends"/>
    <x v="2"/>
    <x v="10"/>
  </r>
  <r>
    <x v="0"/>
    <n v="24"/>
    <x v="0"/>
    <x v="0"/>
    <n v="0"/>
    <x v="0"/>
    <x v="1"/>
    <n v="1000"/>
    <x v="1"/>
    <s v="Books"/>
    <x v="0"/>
    <x v="12"/>
  </r>
  <r>
    <x v="1"/>
    <n v="29"/>
    <x v="1"/>
    <x v="1"/>
    <n v="280000"/>
    <x v="1"/>
    <x v="5"/>
    <n v="4000"/>
    <x v="0"/>
    <s v="Family members/Friends"/>
    <x v="2"/>
    <x v="4"/>
  </r>
  <r>
    <x v="0"/>
    <n v="26"/>
    <x v="1"/>
    <x v="1"/>
    <n v="350000"/>
    <x v="1"/>
    <x v="2"/>
    <n v="3000"/>
    <x v="3"/>
    <s v="News articles / Current affairs"/>
    <x v="7"/>
    <x v="0"/>
  </r>
  <r>
    <x v="0"/>
    <n v="22"/>
    <x v="0"/>
    <x v="0"/>
    <n v="0"/>
    <x v="0"/>
    <x v="1"/>
    <n v="2000"/>
    <x v="5"/>
    <s v="Mobile applications"/>
    <x v="2"/>
    <x v="10"/>
  </r>
  <r>
    <x v="1"/>
    <n v="27"/>
    <x v="1"/>
    <x v="1"/>
    <n v="400000"/>
    <x v="1"/>
    <x v="2"/>
    <n v="5000"/>
    <x v="1"/>
    <s v="Mobile applications"/>
    <x v="7"/>
    <x v="5"/>
  </r>
  <r>
    <x v="0"/>
    <n v="24"/>
    <x v="0"/>
    <x v="1"/>
    <n v="250000"/>
    <x v="1"/>
    <x v="1"/>
    <n v="2000"/>
    <x v="5"/>
    <s v="Family members/Friends"/>
    <x v="4"/>
    <x v="10"/>
  </r>
  <r>
    <x v="0"/>
    <n v="25"/>
    <x v="0"/>
    <x v="1"/>
    <n v="400000"/>
    <x v="1"/>
    <x v="2"/>
    <n v="2500"/>
    <x v="6"/>
    <s v="Family members/Friends"/>
    <x v="5"/>
    <x v="0"/>
  </r>
  <r>
    <x v="1"/>
    <n v="22"/>
    <x v="0"/>
    <x v="0"/>
    <n v="0"/>
    <x v="0"/>
    <x v="1"/>
    <n v="500"/>
    <x v="5"/>
    <s v="Books"/>
    <x v="4"/>
    <x v="3"/>
  </r>
  <r>
    <x v="0"/>
    <n v="26"/>
    <x v="1"/>
    <x v="1"/>
    <n v="400000"/>
    <x v="1"/>
    <x v="7"/>
    <n v="4500"/>
    <x v="3"/>
    <s v="Family members/Friends"/>
    <x v="0"/>
    <x v="0"/>
  </r>
  <r>
    <x v="0"/>
    <n v="21"/>
    <x v="0"/>
    <x v="0"/>
    <n v="0"/>
    <x v="0"/>
    <x v="3"/>
    <n v="0"/>
    <x v="1"/>
    <s v="Mobile applications"/>
    <x v="5"/>
    <x v="2"/>
  </r>
  <r>
    <x v="0"/>
    <n v="28"/>
    <x v="1"/>
    <x v="1"/>
    <n v="350000"/>
    <x v="1"/>
    <x v="2"/>
    <n v="5000"/>
    <x v="6"/>
    <s v="Family members/Friends"/>
    <x v="3"/>
    <x v="2"/>
  </r>
  <r>
    <x v="1"/>
    <n v="24"/>
    <x v="0"/>
    <x v="1"/>
    <n v="200000"/>
    <x v="0"/>
    <x v="1"/>
    <n v="1000"/>
    <x v="5"/>
    <s v="Mobile applications"/>
    <x v="1"/>
    <x v="2"/>
  </r>
  <r>
    <x v="0"/>
    <n v="25"/>
    <x v="0"/>
    <x v="1"/>
    <n v="350000"/>
    <x v="1"/>
    <x v="5"/>
    <n v="2500"/>
    <x v="0"/>
    <s v="Family members/Friends"/>
    <x v="7"/>
    <x v="4"/>
  </r>
  <r>
    <x v="0"/>
    <n v="26"/>
    <x v="1"/>
    <x v="1"/>
    <n v="400000"/>
    <x v="1"/>
    <x v="2"/>
    <n v="2500"/>
    <x v="2"/>
    <s v="News articles / Current affairs"/>
    <x v="4"/>
    <x v="0"/>
  </r>
  <r>
    <x v="1"/>
    <n v="18"/>
    <x v="0"/>
    <x v="0"/>
    <n v="0"/>
    <x v="0"/>
    <x v="0"/>
    <n v="200"/>
    <x v="0"/>
    <s v="Family members/Friends"/>
    <x v="2"/>
    <x v="3"/>
  </r>
  <r>
    <x v="0"/>
    <n v="27"/>
    <x v="1"/>
    <x v="1"/>
    <n v="400000"/>
    <x v="1"/>
    <x v="1"/>
    <n v="1000"/>
    <x v="1"/>
    <s v="Mobile applications"/>
    <x v="0"/>
    <x v="5"/>
  </r>
  <r>
    <x v="0"/>
    <n v="27"/>
    <x v="1"/>
    <x v="1"/>
    <n v="250000"/>
    <x v="1"/>
    <x v="1"/>
    <n v="1500"/>
    <x v="5"/>
    <s v="Mobile applications"/>
    <x v="5"/>
    <x v="3"/>
  </r>
  <r>
    <x v="1"/>
    <n v="23"/>
    <x v="0"/>
    <x v="1"/>
    <n v="150000"/>
    <x v="0"/>
    <x v="1"/>
    <n v="1000"/>
    <x v="0"/>
    <s v="Family members/Friends"/>
    <x v="2"/>
    <x v="12"/>
  </r>
  <r>
    <x v="0"/>
    <n v="36"/>
    <x v="3"/>
    <x v="1"/>
    <n v="600000"/>
    <x v="2"/>
    <x v="7"/>
    <n v="8500"/>
    <x v="5"/>
    <s v="News articles / Current affairs"/>
    <x v="7"/>
    <x v="0"/>
  </r>
  <r>
    <x v="1"/>
    <n v="29"/>
    <x v="1"/>
    <x v="0"/>
    <n v="0"/>
    <x v="0"/>
    <x v="8"/>
    <n v="1000"/>
    <x v="0"/>
    <s v="Family members/Friends"/>
    <x v="2"/>
    <x v="7"/>
  </r>
  <r>
    <x v="0"/>
    <n v="28"/>
    <x v="1"/>
    <x v="1"/>
    <n v="400000"/>
    <x v="1"/>
    <x v="1"/>
    <n v="1200"/>
    <x v="1"/>
    <s v="Mobile applications"/>
    <x v="1"/>
    <x v="2"/>
  </r>
  <r>
    <x v="0"/>
    <n v="23"/>
    <x v="0"/>
    <x v="1"/>
    <n v="150000"/>
    <x v="0"/>
    <x v="2"/>
    <n v="500"/>
    <x v="2"/>
    <s v="Brokers"/>
    <x v="0"/>
    <x v="5"/>
  </r>
  <r>
    <x v="1"/>
    <n v="27"/>
    <x v="1"/>
    <x v="1"/>
    <n v="350000"/>
    <x v="1"/>
    <x v="0"/>
    <n v="2500"/>
    <x v="0"/>
    <s v="Family members/Friends"/>
    <x v="3"/>
    <x v="0"/>
  </r>
  <r>
    <x v="0"/>
    <n v="29"/>
    <x v="1"/>
    <x v="1"/>
    <n v="400000"/>
    <x v="1"/>
    <x v="2"/>
    <n v="3000"/>
    <x v="5"/>
    <s v="Books"/>
    <x v="3"/>
    <x v="0"/>
  </r>
  <r>
    <x v="1"/>
    <n v="25"/>
    <x v="0"/>
    <x v="1"/>
    <n v="400000"/>
    <x v="1"/>
    <x v="2"/>
    <n v="3000"/>
    <x v="6"/>
    <s v="Mobile applications"/>
    <x v="0"/>
    <x v="5"/>
  </r>
  <r>
    <x v="0"/>
    <n v="35"/>
    <x v="1"/>
    <x v="1"/>
    <n v="300000"/>
    <x v="1"/>
    <x v="0"/>
    <n v="2000"/>
    <x v="6"/>
    <s v="Mobile applications"/>
    <x v="1"/>
    <x v="0"/>
  </r>
  <r>
    <x v="0"/>
    <n v="37"/>
    <x v="3"/>
    <x v="1"/>
    <n v="400000"/>
    <x v="1"/>
    <x v="0"/>
    <n v="5000"/>
    <x v="2"/>
    <s v="News articles / Current affairs"/>
    <x v="7"/>
    <x v="13"/>
  </r>
  <r>
    <x v="1"/>
    <n v="23"/>
    <x v="0"/>
    <x v="1"/>
    <n v="400000"/>
    <x v="1"/>
    <x v="0"/>
    <n v="15000"/>
    <x v="0"/>
    <s v="Family members/Friends"/>
    <x v="2"/>
    <x v="8"/>
  </r>
  <r>
    <x v="0"/>
    <n v="18"/>
    <x v="0"/>
    <x v="0"/>
    <n v="0"/>
    <x v="0"/>
    <x v="3"/>
    <n v="5000"/>
    <x v="1"/>
    <s v="Mobile applications"/>
    <x v="5"/>
    <x v="3"/>
  </r>
  <r>
    <x v="0"/>
    <n v="20"/>
    <x v="0"/>
    <x v="0"/>
    <n v="0"/>
    <x v="0"/>
    <x v="2"/>
    <n v="600"/>
    <x v="5"/>
    <s v="Books"/>
    <x v="3"/>
    <x v="2"/>
  </r>
  <r>
    <x v="1"/>
    <n v="24"/>
    <x v="0"/>
    <x v="0"/>
    <n v="0"/>
    <x v="0"/>
    <x v="5"/>
    <n v="500"/>
    <x v="6"/>
    <s v="Family members/Friends"/>
    <x v="0"/>
    <x v="12"/>
  </r>
  <r>
    <x v="1"/>
    <n v="26"/>
    <x v="1"/>
    <x v="1"/>
    <n v="350000"/>
    <x v="1"/>
    <x v="5"/>
    <n v="2500"/>
    <x v="7"/>
    <s v="Family members/Friends"/>
    <x v="2"/>
    <x v="3"/>
  </r>
  <r>
    <x v="1"/>
    <n v="27"/>
    <x v="1"/>
    <x v="0"/>
    <n v="0"/>
    <x v="0"/>
    <x v="5"/>
    <n v="1500"/>
    <x v="0"/>
    <s v="Family members/Friends"/>
    <x v="0"/>
    <x v="10"/>
  </r>
  <r>
    <x v="0"/>
    <n v="25"/>
    <x v="0"/>
    <x v="1"/>
    <n v="200000"/>
    <x v="0"/>
    <x v="2"/>
    <n v="1000"/>
    <x v="5"/>
    <s v="Family members/Friends"/>
    <x v="0"/>
    <x v="0"/>
  </r>
  <r>
    <x v="1"/>
    <n v="32"/>
    <x v="1"/>
    <x v="1"/>
    <n v="300000"/>
    <x v="1"/>
    <x v="0"/>
    <n v="5000"/>
    <x v="6"/>
    <s v="Investors in bank"/>
    <x v="1"/>
    <x v="2"/>
  </r>
  <r>
    <x v="0"/>
    <n v="26"/>
    <x v="1"/>
    <x v="1"/>
    <n v="250000"/>
    <x v="1"/>
    <x v="1"/>
    <n v="1500"/>
    <x v="1"/>
    <s v="Mobile applications"/>
    <x v="7"/>
    <x v="3"/>
  </r>
  <r>
    <x v="0"/>
    <n v="25"/>
    <x v="0"/>
    <x v="1"/>
    <n v="300000"/>
    <x v="1"/>
    <x v="2"/>
    <n v="5000"/>
    <x v="3"/>
    <s v="Family members/Friends"/>
    <x v="0"/>
    <x v="0"/>
  </r>
  <r>
    <x v="0"/>
    <n v="24"/>
    <x v="0"/>
    <x v="0"/>
    <n v="0"/>
    <x v="0"/>
    <x v="1"/>
    <n v="500"/>
    <x v="5"/>
    <s v="Mobile applications"/>
    <x v="0"/>
    <x v="3"/>
  </r>
  <r>
    <x v="1"/>
    <n v="21"/>
    <x v="0"/>
    <x v="0"/>
    <n v="0"/>
    <x v="0"/>
    <x v="0"/>
    <n v="500"/>
    <x v="0"/>
    <s v="Family members/Friends"/>
    <x v="2"/>
    <x v="3"/>
  </r>
  <r>
    <x v="0"/>
    <n v="28"/>
    <x v="1"/>
    <x v="1"/>
    <n v="350000"/>
    <x v="1"/>
    <x v="5"/>
    <n v="1500"/>
    <x v="2"/>
    <s v="Family members/Friends"/>
    <x v="4"/>
    <x v="3"/>
  </r>
  <r>
    <x v="0"/>
    <n v="26"/>
    <x v="1"/>
    <x v="1"/>
    <n v="250000"/>
    <x v="1"/>
    <x v="1"/>
    <n v="1000"/>
    <x v="1"/>
    <s v="Mobile applications"/>
    <x v="0"/>
    <x v="0"/>
  </r>
  <r>
    <x v="0"/>
    <n v="27"/>
    <x v="1"/>
    <x v="1"/>
    <n v="400000"/>
    <x v="1"/>
    <x v="7"/>
    <n v="8500"/>
    <x v="2"/>
    <s v="Family members/Friends"/>
    <x v="5"/>
    <x v="3"/>
  </r>
  <r>
    <x v="1"/>
    <n v="24"/>
    <x v="0"/>
    <x v="0"/>
    <n v="0"/>
    <x v="0"/>
    <x v="0"/>
    <n v="1000"/>
    <x v="0"/>
    <s v="Family members/Friends"/>
    <x v="2"/>
    <x v="5"/>
  </r>
  <r>
    <x v="1"/>
    <n v="26"/>
    <x v="1"/>
    <x v="1"/>
    <n v="250000"/>
    <x v="1"/>
    <x v="2"/>
    <n v="2500"/>
    <x v="6"/>
    <s v="Mobile applications"/>
    <x v="0"/>
    <x v="5"/>
  </r>
  <r>
    <x v="0"/>
    <n v="21"/>
    <x v="0"/>
    <x v="1"/>
    <n v="120000"/>
    <x v="0"/>
    <x v="1"/>
    <n v="500"/>
    <x v="5"/>
    <s v="News articles / Current affairs"/>
    <x v="0"/>
    <x v="3"/>
  </r>
  <r>
    <x v="0"/>
    <n v="23"/>
    <x v="0"/>
    <x v="1"/>
    <n v="200000"/>
    <x v="0"/>
    <x v="2"/>
    <n v="1500"/>
    <x v="1"/>
    <s v="News articles / Current affairs"/>
    <x v="1"/>
    <x v="14"/>
  </r>
  <r>
    <x v="1"/>
    <n v="22"/>
    <x v="0"/>
    <x v="1"/>
    <n v="120000"/>
    <x v="0"/>
    <x v="2"/>
    <n v="1500"/>
    <x v="1"/>
    <s v="Books"/>
    <x v="0"/>
    <x v="5"/>
  </r>
  <r>
    <x v="0"/>
    <n v="25"/>
    <x v="0"/>
    <x v="1"/>
    <n v="260000"/>
    <x v="1"/>
    <x v="5"/>
    <n v="2000"/>
    <x v="1"/>
    <s v="Family members/Friends"/>
    <x v="4"/>
    <x v="3"/>
  </r>
  <r>
    <x v="0"/>
    <n v="22"/>
    <x v="0"/>
    <x v="0"/>
    <n v="0"/>
    <x v="0"/>
    <x v="1"/>
    <n v="500"/>
    <x v="1"/>
    <s v="Mobile applications"/>
    <x v="0"/>
    <x v="0"/>
  </r>
  <r>
    <x v="0"/>
    <n v="29"/>
    <x v="1"/>
    <x v="1"/>
    <n v="250000"/>
    <x v="1"/>
    <x v="2"/>
    <n v="2000"/>
    <x v="6"/>
    <s v="News articles / Current affairs"/>
    <x v="2"/>
    <x v="8"/>
  </r>
  <r>
    <x v="1"/>
    <n v="23"/>
    <x v="0"/>
    <x v="1"/>
    <n v="150000"/>
    <x v="0"/>
    <x v="0"/>
    <n v="1000"/>
    <x v="0"/>
    <s v="Family members/Friends"/>
    <x v="5"/>
    <x v="0"/>
  </r>
  <r>
    <x v="1"/>
    <n v="22"/>
    <x v="0"/>
    <x v="0"/>
    <n v="0"/>
    <x v="0"/>
    <x v="2"/>
    <n v="1000"/>
    <x v="6"/>
    <s v="Mobile applications"/>
    <x v="0"/>
    <x v="10"/>
  </r>
  <r>
    <x v="0"/>
    <n v="26"/>
    <x v="1"/>
    <x v="1"/>
    <n v="250000"/>
    <x v="1"/>
    <x v="1"/>
    <n v="1500"/>
    <x v="2"/>
    <s v="Family members/Friends"/>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D6810-75E4-41C1-885D-4036B6896E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axis="axisRow" dataField="1" showAll="0">
      <items count="3">
        <item x="1"/>
        <item x="0"/>
        <item t="default"/>
      </items>
    </pivotField>
    <pivotField numFmtId="1" showAll="0"/>
    <pivotField showAll="0"/>
    <pivotField showAll="0"/>
    <pivotField numFmtId="1" showAll="0"/>
    <pivotField showAll="0"/>
    <pivotField showAll="0"/>
    <pivotField numFmtId="1" showAll="0"/>
    <pivotField showAll="0"/>
    <pivotField showAll="0"/>
    <pivotField showAll="0"/>
    <pivotField numFmtId="1" showAll="0"/>
  </pivotFields>
  <rowFields count="1">
    <field x="0"/>
  </rowFields>
  <rowItems count="3">
    <i>
      <x/>
    </i>
    <i>
      <x v="1"/>
    </i>
    <i t="grand">
      <x/>
    </i>
  </rowItems>
  <colItems count="1">
    <i/>
  </colItems>
  <dataFields count="1">
    <dataField name="Count of Gender" fld="0" subtotal="count" baseField="0" baseItem="0"/>
  </dataFields>
  <formats count="6">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4FEB8-2179-4A7E-9FC7-3FB6A91514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2">
    <pivotField showAll="0"/>
    <pivotField numFmtId="1" showAll="0"/>
    <pivotField showAll="0"/>
    <pivotField axis="axisRow" dataField="1" showAll="0">
      <items count="3">
        <item x="0"/>
        <item x="1"/>
        <item t="default"/>
      </items>
    </pivotField>
    <pivotField numFmtId="1" showAll="0"/>
    <pivotField showAll="0"/>
    <pivotField showAll="0"/>
    <pivotField numFmtId="1" showAll="0"/>
    <pivotField showAll="0"/>
    <pivotField showAll="0"/>
    <pivotField showAll="0"/>
    <pivotField numFmtId="1" showAll="0"/>
  </pivotFields>
  <rowFields count="1">
    <field x="3"/>
  </rowFields>
  <rowItems count="3">
    <i>
      <x/>
    </i>
    <i>
      <x v="1"/>
    </i>
    <i t="grand">
      <x/>
    </i>
  </rowItems>
  <colItems count="1">
    <i/>
  </colItems>
  <dataFields count="1">
    <dataField name="Working Status" fld="3" subtotal="count" baseField="2" baseItem="0"/>
  </dataFields>
  <formats count="6">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BE9E3-1403-485B-8FCE-E73EFA8244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12">
    <pivotField showAll="0"/>
    <pivotField numFmtId="1" showAll="0"/>
    <pivotField showAll="0"/>
    <pivotField showAll="0"/>
    <pivotField numFmtId="1" showAll="0"/>
    <pivotField showAll="0"/>
    <pivotField axis="axisRow" dataField="1" showAll="0" sortType="ascending">
      <items count="10">
        <item x="0"/>
        <item x="8"/>
        <item x="3"/>
        <item x="5"/>
        <item x="6"/>
        <item x="2"/>
        <item x="4"/>
        <item x="7"/>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numFmtId="1" showAll="0"/>
  </pivotFields>
  <rowFields count="1">
    <field x="6"/>
  </rowFields>
  <rowItems count="10">
    <i>
      <x v="4"/>
    </i>
    <i>
      <x v="1"/>
    </i>
    <i>
      <x v="6"/>
    </i>
    <i>
      <x v="2"/>
    </i>
    <i>
      <x v="7"/>
    </i>
    <i>
      <x v="3"/>
    </i>
    <i>
      <x/>
    </i>
    <i>
      <x v="5"/>
    </i>
    <i>
      <x v="8"/>
    </i>
    <i t="grand">
      <x/>
    </i>
  </rowItems>
  <colItems count="1">
    <i/>
  </colItems>
  <dataFields count="1">
    <dataField name="Invenstment Mode" fld="6" subtotal="count" baseField="4" baseItem="0"/>
  </dataFields>
  <formats count="6">
    <format dxfId="47">
      <pivotArea type="all" dataOnly="0" outline="0" fieldPosition="0"/>
    </format>
    <format dxfId="46">
      <pivotArea outline="0" collapsedLevelsAreSubtotals="1"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397336-9936-4BF7-B4CF-BA567F601A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2">
    <pivotField axis="axisRow" showAll="0">
      <items count="3">
        <item x="1"/>
        <item x="0"/>
        <item t="default"/>
      </items>
    </pivotField>
    <pivotField numFmtId="1" showAll="0"/>
    <pivotField showAll="0"/>
    <pivotField showAll="0"/>
    <pivotField numFmtId="1" showAll="0"/>
    <pivotField showAll="0"/>
    <pivotField showAll="0"/>
    <pivotField dataField="1" numFmtId="1" showAll="0"/>
    <pivotField showAll="0"/>
    <pivotField showAll="0"/>
    <pivotField showAll="0"/>
    <pivotField numFmtId="1" showAll="0"/>
  </pivotFields>
  <rowFields count="1">
    <field x="0"/>
  </rowFields>
  <rowItems count="3">
    <i>
      <x/>
    </i>
    <i>
      <x v="1"/>
    </i>
    <i t="grand">
      <x/>
    </i>
  </rowItems>
  <colItems count="1">
    <i/>
  </colItems>
  <dataFields count="1">
    <dataField name="Average Investment_per_month" fld="7" subtotal="average" baseField="0" baseItem="0" numFmtId="1"/>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6EF754-316F-46D4-ADC0-78503A2DCD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showAll="0"/>
    <pivotField numFmtId="1" showAll="0"/>
    <pivotField showAll="0"/>
    <pivotField axis="axisRow" showAll="0">
      <items count="3">
        <item x="0"/>
        <item x="1"/>
        <item t="default"/>
      </items>
    </pivotField>
    <pivotField numFmtId="1" showAll="0"/>
    <pivotField showAll="0"/>
    <pivotField showAll="0"/>
    <pivotField dataField="1" numFmtId="1" showAll="0"/>
    <pivotField showAll="0"/>
    <pivotField showAll="0"/>
    <pivotField showAll="0"/>
    <pivotField numFmtId="1" showAll="0"/>
  </pivotFields>
  <rowFields count="1">
    <field x="3"/>
  </rowFields>
  <rowItems count="3">
    <i>
      <x/>
    </i>
    <i>
      <x v="1"/>
    </i>
    <i t="grand">
      <x/>
    </i>
  </rowItems>
  <colItems count="1">
    <i/>
  </colItems>
  <dataFields count="1">
    <dataField name="Average of Investment_per_month" fld="7" subtotal="average" baseField="2" baseItem="0" numFmtId="1"/>
  </dataFields>
  <formats count="6">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0B7E4-E344-402E-9A87-A518A66A6E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showAll="0"/>
    <pivotField numFmtId="1" showAll="0"/>
    <pivotField showAll="0"/>
    <pivotField showAll="0"/>
    <pivotField numFmtId="1" showAll="0"/>
    <pivotField axis="axisRow" showAll="0">
      <items count="4">
        <item x="2"/>
        <item x="0"/>
        <item x="1"/>
        <item t="default"/>
      </items>
    </pivotField>
    <pivotField showAll="0"/>
    <pivotField dataField="1" numFmtId="1" showAll="0"/>
    <pivotField showAll="0"/>
    <pivotField showAll="0"/>
    <pivotField showAll="0"/>
    <pivotField numFmtId="1" showAll="0"/>
  </pivotFields>
  <rowFields count="1">
    <field x="5"/>
  </rowFields>
  <rowItems count="4">
    <i>
      <x/>
    </i>
    <i>
      <x v="1"/>
    </i>
    <i>
      <x v="2"/>
    </i>
    <i t="grand">
      <x/>
    </i>
  </rowItems>
  <colItems count="1">
    <i/>
  </colItems>
  <dataFields count="1">
    <dataField name="Average Investment_per_month" fld="7" subtotal="average" baseField="4" baseItem="0" numFmtId="1"/>
  </dataFields>
  <formats count="6">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96AB0E-C5F0-477B-B4A9-5CCA8CA2D6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2">
    <pivotField showAll="0"/>
    <pivotField numFmtId="1" showAll="0"/>
    <pivotField showAll="0"/>
    <pivotField showAll="0"/>
    <pivotField numFmtId="1" showAll="0"/>
    <pivotField showAll="0"/>
    <pivotField showAll="0"/>
    <pivotField numFmtId="1" showAll="0"/>
    <pivotField axis="axisRow" dataField="1" showAll="0" sortType="descending">
      <items count="13">
        <item x="6"/>
        <item x="1"/>
        <item m="1" x="10"/>
        <item m="1" x="8"/>
        <item m="1" x="11"/>
        <item m="1" x="9"/>
        <item x="7"/>
        <item x="4"/>
        <item x="5"/>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s>
  <rowFields count="1">
    <field x="8"/>
  </rowFields>
  <rowItems count="9">
    <i>
      <x v="9"/>
    </i>
    <i>
      <x v="8"/>
    </i>
    <i>
      <x v="1"/>
    </i>
    <i>
      <x/>
    </i>
    <i>
      <x v="10"/>
    </i>
    <i>
      <x v="11"/>
    </i>
    <i>
      <x v="6"/>
    </i>
    <i>
      <x v="7"/>
    </i>
    <i t="grand">
      <x/>
    </i>
  </rowItems>
  <colItems count="1">
    <i/>
  </colItems>
  <dataFields count="1">
    <dataField name="Count of Motivation_cause" fld="8" subtotal="count" baseField="0" baseItem="0"/>
  </dataFields>
  <formats count="6">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E5AA53-F156-4324-B730-559064C73C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2">
    <pivotField showAll="0"/>
    <pivotField numFmtId="1" showAll="0"/>
    <pivotField showAll="0"/>
    <pivotField showAll="0"/>
    <pivotField numFmtId="1" showAll="0"/>
    <pivotField showAll="0"/>
    <pivotField showAll="0"/>
    <pivotField numFmtId="1" showAll="0"/>
    <pivotField showAll="0"/>
    <pivotField showAll="0"/>
    <pivotField axis="axisRow" dataField="1" showAll="0" sortType="descending">
      <items count="10">
        <item m="1" x="8"/>
        <item x="3"/>
        <item x="5"/>
        <item x="2"/>
        <item x="1"/>
        <item x="4"/>
        <item x="7"/>
        <item x="0"/>
        <item x="6"/>
        <item t="default"/>
      </items>
      <autoSortScope>
        <pivotArea dataOnly="0" outline="0" fieldPosition="0">
          <references count="1">
            <reference field="4294967294" count="1" selected="0">
              <x v="0"/>
            </reference>
          </references>
        </pivotArea>
      </autoSortScope>
    </pivotField>
    <pivotField numFmtId="1" showAll="0"/>
  </pivotFields>
  <rowFields count="1">
    <field x="10"/>
  </rowFields>
  <rowItems count="9">
    <i>
      <x v="7"/>
    </i>
    <i>
      <x v="3"/>
    </i>
    <i>
      <x v="4"/>
    </i>
    <i>
      <x v="2"/>
    </i>
    <i>
      <x v="1"/>
    </i>
    <i>
      <x v="5"/>
    </i>
    <i>
      <x v="6"/>
    </i>
    <i>
      <x v="8"/>
    </i>
    <i t="grand">
      <x/>
    </i>
  </rowItems>
  <colItems count="1">
    <i/>
  </colItems>
  <dataFields count="1">
    <dataField name="Investment Goal" fld="10" subtotal="count" baseField="9" baseItem="0"/>
  </dataFields>
  <formats count="6">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542069-E044-43BD-AAF0-6700351639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vestment Goals" colHeaderCaption="Duration(Years)">
  <location ref="A3:Q13" firstHeaderRow="1" firstDataRow="2" firstDataCol="1"/>
  <pivotFields count="12">
    <pivotField dataField="1" showAll="0"/>
    <pivotField numFmtId="1" showAll="0"/>
    <pivotField showAll="0"/>
    <pivotField showAll="0"/>
    <pivotField numFmtId="1" showAll="0"/>
    <pivotField showAll="0"/>
    <pivotField showAll="0"/>
    <pivotField numFmtId="1" showAll="0"/>
    <pivotField showAll="0"/>
    <pivotField showAll="0"/>
    <pivotField axis="axisRow" showAll="0" sortType="descending">
      <items count="10">
        <item m="1" x="8"/>
        <item x="3"/>
        <item x="5"/>
        <item x="6"/>
        <item x="2"/>
        <item x="1"/>
        <item x="4"/>
        <item x="7"/>
        <item x="0"/>
        <item t="default"/>
      </items>
      <autoSortScope>
        <pivotArea dataOnly="0" outline="0" fieldPosition="0">
          <references count="1">
            <reference field="4294967294" count="1" selected="0">
              <x v="0"/>
            </reference>
          </references>
        </pivotArea>
      </autoSortScope>
    </pivotField>
    <pivotField axis="axisCol" numFmtId="1" showAll="0">
      <items count="16">
        <item x="6"/>
        <item x="7"/>
        <item x="8"/>
        <item x="1"/>
        <item x="4"/>
        <item x="3"/>
        <item x="10"/>
        <item x="12"/>
        <item x="5"/>
        <item x="14"/>
        <item x="0"/>
        <item x="2"/>
        <item x="11"/>
        <item x="13"/>
        <item x="9"/>
        <item t="default"/>
      </items>
    </pivotField>
  </pivotFields>
  <rowFields count="1">
    <field x="10"/>
  </rowFields>
  <rowItems count="9">
    <i>
      <x v="8"/>
    </i>
    <i>
      <x v="4"/>
    </i>
    <i>
      <x v="5"/>
    </i>
    <i>
      <x v="2"/>
    </i>
    <i>
      <x v="1"/>
    </i>
    <i>
      <x v="6"/>
    </i>
    <i>
      <x v="7"/>
    </i>
    <i>
      <x v="3"/>
    </i>
    <i t="grand">
      <x/>
    </i>
  </rowItems>
  <colFields count="1">
    <field x="11"/>
  </colFields>
  <colItems count="16">
    <i>
      <x/>
    </i>
    <i>
      <x v="1"/>
    </i>
    <i>
      <x v="2"/>
    </i>
    <i>
      <x v="3"/>
    </i>
    <i>
      <x v="4"/>
    </i>
    <i>
      <x v="5"/>
    </i>
    <i>
      <x v="6"/>
    </i>
    <i>
      <x v="7"/>
    </i>
    <i>
      <x v="8"/>
    </i>
    <i>
      <x v="9"/>
    </i>
    <i>
      <x v="10"/>
    </i>
    <i>
      <x v="11"/>
    </i>
    <i>
      <x v="12"/>
    </i>
    <i>
      <x v="13"/>
    </i>
    <i>
      <x v="14"/>
    </i>
    <i t="grand">
      <x/>
    </i>
  </colItems>
  <dataFields count="1">
    <dataField name="Count of Gender" fld="0" subtotal="count" baseField="0" baseItem="0"/>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11" type="button" dataOnly="0" labelOnly="1" outline="0" axis="axisCol" fieldPosition="0"/>
    </format>
    <format dxfId="7">
      <pivotArea type="topRight" dataOnly="0" labelOnly="1" outline="0" fieldPosition="0"/>
    </format>
    <format dxfId="6">
      <pivotArea field="10" type="button" dataOnly="0" labelOnly="1" outline="0" axis="axisRow" fieldPosition="0"/>
    </format>
    <format dxfId="5">
      <pivotArea dataOnly="0" labelOnly="1" fieldPosition="0">
        <references count="1">
          <reference field="10" count="0"/>
        </references>
      </pivotArea>
    </format>
    <format dxfId="4">
      <pivotArea dataOnly="0" labelOnly="1" grandRow="1" outline="0" fieldPosition="0"/>
    </format>
    <format dxfId="3">
      <pivotArea dataOnly="0" labelOnly="1" fieldPosition="0">
        <references count="1">
          <reference field="11" count="0"/>
        </references>
      </pivotArea>
    </format>
    <format dxfId="2">
      <pivotArea dataOnly="0" labelOnly="1" grandCol="1" outline="0" fieldPosition="0"/>
    </format>
  </formats>
  <chartFormats count="15">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 chart="0" format="10" series="1">
      <pivotArea type="data" outline="0" fieldPosition="0">
        <references count="2">
          <reference field="4294967294" count="1" selected="0">
            <x v="0"/>
          </reference>
          <reference field="11" count="1" selected="0">
            <x v="10"/>
          </reference>
        </references>
      </pivotArea>
    </chartFormat>
    <chartFormat chart="0" format="11" series="1">
      <pivotArea type="data" outline="0" fieldPosition="0">
        <references count="2">
          <reference field="4294967294" count="1" selected="0">
            <x v="0"/>
          </reference>
          <reference field="11" count="1" selected="0">
            <x v="11"/>
          </reference>
        </references>
      </pivotArea>
    </chartFormat>
    <chartFormat chart="0" format="12" series="1">
      <pivotArea type="data" outline="0" fieldPosition="0">
        <references count="2">
          <reference field="4294967294" count="1" selected="0">
            <x v="0"/>
          </reference>
          <reference field="11" count="1" selected="0">
            <x v="12"/>
          </reference>
        </references>
      </pivotArea>
    </chartFormat>
    <chartFormat chart="0" format="13" series="1">
      <pivotArea type="data" outline="0" fieldPosition="0">
        <references count="2">
          <reference field="4294967294" count="1" selected="0">
            <x v="0"/>
          </reference>
          <reference field="11" count="1" selected="0">
            <x v="13"/>
          </reference>
        </references>
      </pivotArea>
    </chartFormat>
    <chartFormat chart="0" format="14" series="1">
      <pivotArea type="data" outline="0" fieldPosition="0">
        <references count="2">
          <reference field="4294967294" count="1" selected="0">
            <x v="0"/>
          </reference>
          <reference field="1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7FD249-C7F5-496A-A3E2-E335EDCC44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Groups" colHeaderCaption="Investment Goals">
  <location ref="A3:J9" firstHeaderRow="1" firstDataRow="2" firstDataCol="1"/>
  <pivotFields count="12">
    <pivotField dataField="1" showAll="0"/>
    <pivotField numFmtId="1"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showAll="0"/>
    <pivotField showAll="0"/>
    <pivotField axis="axisCol" showAll="0">
      <items count="10">
        <item m="1" x="8"/>
        <item x="3"/>
        <item x="5"/>
        <item x="6"/>
        <item x="2"/>
        <item x="1"/>
        <item x="4"/>
        <item x="7"/>
        <item x="0"/>
        <item t="default"/>
      </items>
    </pivotField>
    <pivotField numFmtId="1" showAll="0"/>
  </pivotFields>
  <rowFields count="1">
    <field x="2"/>
  </rowFields>
  <rowItems count="5">
    <i>
      <x v="3"/>
    </i>
    <i>
      <x/>
    </i>
    <i>
      <x v="1"/>
    </i>
    <i>
      <x v="2"/>
    </i>
    <i t="grand">
      <x/>
    </i>
  </rowItems>
  <colFields count="1">
    <field x="10"/>
  </colFields>
  <colItems count="9">
    <i>
      <x v="1"/>
    </i>
    <i>
      <x v="2"/>
    </i>
    <i>
      <x v="3"/>
    </i>
    <i>
      <x v="4"/>
    </i>
    <i>
      <x v="5"/>
    </i>
    <i>
      <x v="6"/>
    </i>
    <i>
      <x v="7"/>
    </i>
    <i>
      <x v="8"/>
    </i>
    <i t="grand">
      <x/>
    </i>
  </colItems>
  <dataFields count="1">
    <dataField name="Count of Gender" fld="0" subtotal="count" showDataAs="percentOfRow" baseField="0" baseItem="0" numFmtId="9"/>
  </dataFields>
  <formats count="11">
    <format dxfId="70">
      <pivotArea outline="0" collapsedLevelsAreSubtotals="1"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10" type="button" dataOnly="0" labelOnly="1" outline="0" axis="axisCol" fieldPosition="0"/>
    </format>
    <format dxfId="65">
      <pivotArea type="topRight" dataOnly="0" labelOnly="1" outline="0"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dataOnly="0" labelOnly="1" grandRow="1" outline="0" fieldPosition="0"/>
    </format>
    <format dxfId="61">
      <pivotArea dataOnly="0" labelOnly="1" fieldPosition="0">
        <references count="1">
          <reference field="10" count="0"/>
        </references>
      </pivotArea>
    </format>
    <format dxfId="60">
      <pivotArea dataOnly="0" labelOnly="1" grandCol="1" outline="0" fieldPosition="0"/>
    </format>
  </formats>
  <chartFormats count="8">
    <chartFormat chart="0" format="0" series="1">
      <pivotArea type="data" outline="0" fieldPosition="0">
        <references count="2">
          <reference field="4294967294" count="1" selected="0">
            <x v="0"/>
          </reference>
          <reference field="10" count="1" selected="0">
            <x v="1"/>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3"/>
          </reference>
        </references>
      </pivotArea>
    </chartFormat>
    <chartFormat chart="0" format="3" series="1">
      <pivotArea type="data" outline="0" fieldPosition="0">
        <references count="2">
          <reference field="4294967294" count="1" selected="0">
            <x v="0"/>
          </reference>
          <reference field="10" count="1" selected="0">
            <x v="4"/>
          </reference>
        </references>
      </pivotArea>
    </chartFormat>
    <chartFormat chart="0" format="4" series="1">
      <pivotArea type="data" outline="0" fieldPosition="0">
        <references count="2">
          <reference field="4294967294" count="1" selected="0">
            <x v="0"/>
          </reference>
          <reference field="10" count="1" selected="0">
            <x v="5"/>
          </reference>
        </references>
      </pivotArea>
    </chartFormat>
    <chartFormat chart="0" format="5" series="1">
      <pivotArea type="data" outline="0" fieldPosition="0">
        <references count="2">
          <reference field="4294967294" count="1" selected="0">
            <x v="0"/>
          </reference>
          <reference field="10" count="1" selected="0">
            <x v="6"/>
          </reference>
        </references>
      </pivotArea>
    </chartFormat>
    <chartFormat chart="0" format="6" series="1">
      <pivotArea type="data" outline="0" fieldPosition="0">
        <references count="2">
          <reference field="4294967294" count="1" selected="0">
            <x v="0"/>
          </reference>
          <reference field="10" count="1" selected="0">
            <x v="7"/>
          </reference>
        </references>
      </pivotArea>
    </chartFormat>
    <chartFormat chart="0" format="7" series="1">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1CF4-D255-48D6-A924-845688593616}">
  <dimension ref="A1:J101"/>
  <sheetViews>
    <sheetView tabSelected="1" workbookViewId="0">
      <selection activeCell="M2" sqref="M2"/>
    </sheetView>
  </sheetViews>
  <sheetFormatPr defaultRowHeight="14.4" x14ac:dyDescent="0.3"/>
  <cols>
    <col min="5" max="5" width="33.44140625" bestFit="1" customWidth="1"/>
    <col min="6" max="6" width="19.33203125" bestFit="1" customWidth="1"/>
    <col min="7" max="7" width="22.6640625" bestFit="1" customWidth="1"/>
    <col min="8" max="8" width="25.109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19</v>
      </c>
      <c r="C2">
        <v>0</v>
      </c>
      <c r="D2">
        <v>0</v>
      </c>
      <c r="E2" t="s">
        <v>11</v>
      </c>
      <c r="F2">
        <v>200</v>
      </c>
      <c r="G2" t="s">
        <v>12</v>
      </c>
      <c r="H2" t="s">
        <v>13</v>
      </c>
      <c r="I2" t="s">
        <v>14</v>
      </c>
      <c r="J2">
        <v>10</v>
      </c>
    </row>
    <row r="3" spans="1:10" x14ac:dyDescent="0.3">
      <c r="A3" t="s">
        <v>15</v>
      </c>
      <c r="B3">
        <v>24</v>
      </c>
      <c r="C3">
        <v>0</v>
      </c>
      <c r="D3">
        <v>0</v>
      </c>
      <c r="E3" t="s">
        <v>11</v>
      </c>
      <c r="F3">
        <v>1000</v>
      </c>
      <c r="G3" t="s">
        <v>16</v>
      </c>
      <c r="H3" t="s">
        <v>17</v>
      </c>
      <c r="I3" t="s">
        <v>14</v>
      </c>
      <c r="J3">
        <v>3</v>
      </c>
    </row>
    <row r="4" spans="1:10" x14ac:dyDescent="0.3">
      <c r="A4" t="s">
        <v>10</v>
      </c>
      <c r="B4">
        <v>24</v>
      </c>
      <c r="C4">
        <v>1</v>
      </c>
      <c r="D4">
        <v>400000</v>
      </c>
      <c r="E4" t="s">
        <v>18</v>
      </c>
      <c r="F4">
        <v>5000</v>
      </c>
      <c r="G4" t="s">
        <v>16</v>
      </c>
      <c r="H4" t="s">
        <v>19</v>
      </c>
      <c r="I4" t="s">
        <v>20</v>
      </c>
      <c r="J4">
        <v>10</v>
      </c>
    </row>
    <row r="5" spans="1:10" x14ac:dyDescent="0.3">
      <c r="A5" t="s">
        <v>10</v>
      </c>
      <c r="B5">
        <v>22</v>
      </c>
      <c r="C5">
        <v>1</v>
      </c>
      <c r="D5">
        <v>150000</v>
      </c>
      <c r="E5" t="s">
        <v>21</v>
      </c>
      <c r="F5">
        <v>2000</v>
      </c>
      <c r="G5" t="s">
        <v>22</v>
      </c>
      <c r="H5" t="s">
        <v>19</v>
      </c>
      <c r="I5" t="s">
        <v>14</v>
      </c>
      <c r="J5">
        <v>10</v>
      </c>
    </row>
    <row r="6" spans="1:10" x14ac:dyDescent="0.3">
      <c r="A6" t="s">
        <v>10</v>
      </c>
      <c r="B6">
        <v>25</v>
      </c>
      <c r="C6">
        <v>1</v>
      </c>
      <c r="D6">
        <v>250000</v>
      </c>
      <c r="E6" t="s">
        <v>21</v>
      </c>
      <c r="F6">
        <v>2000</v>
      </c>
      <c r="G6" t="s">
        <v>23</v>
      </c>
      <c r="H6" t="s">
        <v>24</v>
      </c>
      <c r="I6" t="s">
        <v>14</v>
      </c>
      <c r="J6">
        <v>15</v>
      </c>
    </row>
    <row r="7" spans="1:10" x14ac:dyDescent="0.3">
      <c r="A7" t="s">
        <v>10</v>
      </c>
      <c r="B7">
        <v>27</v>
      </c>
      <c r="C7">
        <v>1</v>
      </c>
      <c r="D7">
        <v>384000</v>
      </c>
      <c r="E7" t="s">
        <v>25</v>
      </c>
      <c r="F7">
        <v>3000</v>
      </c>
      <c r="G7" t="s">
        <v>16</v>
      </c>
      <c r="H7" t="s">
        <v>16</v>
      </c>
      <c r="I7" t="s">
        <v>14</v>
      </c>
      <c r="J7">
        <v>5</v>
      </c>
    </row>
    <row r="8" spans="1:10" x14ac:dyDescent="0.3">
      <c r="A8" t="s">
        <v>10</v>
      </c>
      <c r="B8">
        <v>24</v>
      </c>
      <c r="C8">
        <v>1</v>
      </c>
      <c r="D8">
        <v>150000</v>
      </c>
      <c r="E8" t="s">
        <v>26</v>
      </c>
      <c r="F8">
        <v>2000</v>
      </c>
      <c r="G8" t="s">
        <v>27</v>
      </c>
      <c r="H8" t="s">
        <v>13</v>
      </c>
      <c r="I8" t="s">
        <v>20</v>
      </c>
      <c r="J8">
        <v>15</v>
      </c>
    </row>
    <row r="9" spans="1:10" x14ac:dyDescent="0.3">
      <c r="A9" t="s">
        <v>15</v>
      </c>
      <c r="B9">
        <v>22</v>
      </c>
      <c r="C9">
        <v>0</v>
      </c>
      <c r="D9">
        <v>0</v>
      </c>
      <c r="E9" t="s">
        <v>28</v>
      </c>
      <c r="F9">
        <v>500</v>
      </c>
      <c r="G9" t="s">
        <v>12</v>
      </c>
      <c r="H9" t="s">
        <v>13</v>
      </c>
      <c r="I9" t="s">
        <v>29</v>
      </c>
      <c r="J9">
        <v>10</v>
      </c>
    </row>
    <row r="10" spans="1:10" x14ac:dyDescent="0.3">
      <c r="A10" t="s">
        <v>15</v>
      </c>
      <c r="B10">
        <v>25</v>
      </c>
      <c r="C10">
        <v>0</v>
      </c>
      <c r="D10">
        <v>0</v>
      </c>
      <c r="E10" t="s">
        <v>11</v>
      </c>
      <c r="F10">
        <v>2000</v>
      </c>
      <c r="G10" t="s">
        <v>12</v>
      </c>
      <c r="H10" t="s">
        <v>13</v>
      </c>
      <c r="I10" t="s">
        <v>29</v>
      </c>
      <c r="J10">
        <v>5</v>
      </c>
    </row>
    <row r="11" spans="1:10" x14ac:dyDescent="0.3">
      <c r="A11" t="s">
        <v>10</v>
      </c>
      <c r="B11">
        <v>28</v>
      </c>
      <c r="C11">
        <v>1</v>
      </c>
      <c r="D11">
        <v>500000</v>
      </c>
      <c r="E11" t="s">
        <v>18</v>
      </c>
      <c r="F11">
        <v>5000</v>
      </c>
      <c r="G11" t="s">
        <v>30</v>
      </c>
      <c r="H11" t="s">
        <v>17</v>
      </c>
      <c r="I11" t="s">
        <v>14</v>
      </c>
      <c r="J11">
        <v>10</v>
      </c>
    </row>
    <row r="12" spans="1:10" x14ac:dyDescent="0.3">
      <c r="A12" t="s">
        <v>15</v>
      </c>
      <c r="B12">
        <v>35</v>
      </c>
      <c r="C12">
        <v>0</v>
      </c>
      <c r="D12">
        <v>0</v>
      </c>
      <c r="E12" t="s">
        <v>11</v>
      </c>
      <c r="F12">
        <v>2000</v>
      </c>
      <c r="G12" t="s">
        <v>12</v>
      </c>
      <c r="H12" t="s">
        <v>13</v>
      </c>
      <c r="I12" t="s">
        <v>31</v>
      </c>
      <c r="J12">
        <v>10</v>
      </c>
    </row>
    <row r="13" spans="1:10" x14ac:dyDescent="0.3">
      <c r="A13" t="s">
        <v>15</v>
      </c>
      <c r="B13">
        <v>28</v>
      </c>
      <c r="C13">
        <v>1</v>
      </c>
      <c r="D13">
        <v>300000</v>
      </c>
      <c r="E13" t="s">
        <v>28</v>
      </c>
      <c r="F13">
        <v>5000</v>
      </c>
      <c r="G13" t="s">
        <v>32</v>
      </c>
      <c r="H13" t="s">
        <v>13</v>
      </c>
      <c r="I13" t="s">
        <v>33</v>
      </c>
      <c r="J13">
        <v>3</v>
      </c>
    </row>
    <row r="14" spans="1:10" x14ac:dyDescent="0.3">
      <c r="A14" t="s">
        <v>10</v>
      </c>
      <c r="B14">
        <v>56</v>
      </c>
      <c r="C14">
        <v>1</v>
      </c>
      <c r="D14">
        <v>200000</v>
      </c>
      <c r="E14" t="s">
        <v>21</v>
      </c>
      <c r="F14">
        <v>1000</v>
      </c>
      <c r="G14" t="s">
        <v>34</v>
      </c>
      <c r="H14" t="s">
        <v>19</v>
      </c>
      <c r="I14" t="s">
        <v>20</v>
      </c>
      <c r="J14">
        <v>4</v>
      </c>
    </row>
    <row r="15" spans="1:10" x14ac:dyDescent="0.3">
      <c r="A15" t="s">
        <v>10</v>
      </c>
      <c r="B15">
        <v>23</v>
      </c>
      <c r="C15">
        <v>0</v>
      </c>
      <c r="D15">
        <v>0</v>
      </c>
      <c r="E15" t="s">
        <v>18</v>
      </c>
      <c r="F15">
        <v>500</v>
      </c>
      <c r="G15" t="s">
        <v>30</v>
      </c>
      <c r="H15" t="s">
        <v>17</v>
      </c>
      <c r="I15" t="s">
        <v>35</v>
      </c>
      <c r="J15">
        <v>15</v>
      </c>
    </row>
    <row r="16" spans="1:10" x14ac:dyDescent="0.3">
      <c r="A16" t="s">
        <v>15</v>
      </c>
      <c r="B16">
        <v>19</v>
      </c>
      <c r="C16">
        <v>0</v>
      </c>
      <c r="D16">
        <v>0</v>
      </c>
      <c r="E16" t="s">
        <v>11</v>
      </c>
      <c r="F16">
        <v>1000</v>
      </c>
      <c r="G16" t="s">
        <v>34</v>
      </c>
      <c r="H16" t="s">
        <v>24</v>
      </c>
      <c r="I16" t="s">
        <v>29</v>
      </c>
      <c r="J16">
        <v>10</v>
      </c>
    </row>
    <row r="17" spans="1:10" x14ac:dyDescent="0.3">
      <c r="A17" t="s">
        <v>10</v>
      </c>
      <c r="B17">
        <v>31</v>
      </c>
      <c r="C17">
        <v>1</v>
      </c>
      <c r="D17">
        <v>200000</v>
      </c>
      <c r="E17" t="s">
        <v>18</v>
      </c>
      <c r="F17">
        <v>1000</v>
      </c>
      <c r="G17" t="s">
        <v>16</v>
      </c>
      <c r="H17" t="s">
        <v>17</v>
      </c>
      <c r="I17" t="s">
        <v>29</v>
      </c>
      <c r="J17">
        <v>5</v>
      </c>
    </row>
    <row r="18" spans="1:10" x14ac:dyDescent="0.3">
      <c r="A18" t="s">
        <v>10</v>
      </c>
      <c r="B18">
        <v>26</v>
      </c>
      <c r="C18">
        <v>0</v>
      </c>
      <c r="D18">
        <v>0</v>
      </c>
      <c r="E18" t="s">
        <v>11</v>
      </c>
      <c r="F18">
        <v>500</v>
      </c>
      <c r="G18" t="s">
        <v>32</v>
      </c>
      <c r="H18" t="s">
        <v>19</v>
      </c>
      <c r="I18" t="s">
        <v>14</v>
      </c>
      <c r="J18">
        <v>4</v>
      </c>
    </row>
    <row r="19" spans="1:10" x14ac:dyDescent="0.3">
      <c r="A19" t="s">
        <v>10</v>
      </c>
      <c r="B19">
        <v>28</v>
      </c>
      <c r="C19">
        <v>1</v>
      </c>
      <c r="D19">
        <v>300000</v>
      </c>
      <c r="E19" t="s">
        <v>21</v>
      </c>
      <c r="F19">
        <v>2500</v>
      </c>
      <c r="G19" t="s">
        <v>34</v>
      </c>
      <c r="H19" t="s">
        <v>13</v>
      </c>
      <c r="I19" t="s">
        <v>14</v>
      </c>
      <c r="J19">
        <v>8</v>
      </c>
    </row>
    <row r="20" spans="1:10" x14ac:dyDescent="0.3">
      <c r="A20" t="s">
        <v>15</v>
      </c>
      <c r="B20">
        <v>26</v>
      </c>
      <c r="C20">
        <v>1</v>
      </c>
      <c r="D20">
        <v>150000</v>
      </c>
      <c r="E20" t="s">
        <v>11</v>
      </c>
      <c r="F20">
        <v>1500</v>
      </c>
      <c r="G20" t="s">
        <v>12</v>
      </c>
      <c r="H20" t="s">
        <v>13</v>
      </c>
      <c r="I20" t="s">
        <v>33</v>
      </c>
      <c r="J20">
        <v>3</v>
      </c>
    </row>
    <row r="21" spans="1:10" x14ac:dyDescent="0.3">
      <c r="A21" t="s">
        <v>10</v>
      </c>
      <c r="B21">
        <v>23</v>
      </c>
      <c r="C21">
        <v>0</v>
      </c>
      <c r="D21">
        <v>0</v>
      </c>
      <c r="E21" t="s">
        <v>11</v>
      </c>
      <c r="F21">
        <v>0</v>
      </c>
      <c r="G21" t="s">
        <v>34</v>
      </c>
      <c r="H21" t="s">
        <v>24</v>
      </c>
      <c r="I21" t="s">
        <v>31</v>
      </c>
      <c r="J21">
        <v>0</v>
      </c>
    </row>
    <row r="22" spans="1:10" x14ac:dyDescent="0.3">
      <c r="A22" t="s">
        <v>10</v>
      </c>
      <c r="B22">
        <v>20</v>
      </c>
      <c r="C22">
        <v>0</v>
      </c>
      <c r="D22">
        <v>0</v>
      </c>
      <c r="E22" t="s">
        <v>11</v>
      </c>
      <c r="F22">
        <v>5000</v>
      </c>
      <c r="G22" t="s">
        <v>34</v>
      </c>
      <c r="H22" t="s">
        <v>24</v>
      </c>
      <c r="I22" t="s">
        <v>29</v>
      </c>
      <c r="J22">
        <v>1</v>
      </c>
    </row>
    <row r="23" spans="1:10" x14ac:dyDescent="0.3">
      <c r="A23" t="s">
        <v>10</v>
      </c>
      <c r="B23">
        <v>18</v>
      </c>
      <c r="C23">
        <v>0</v>
      </c>
      <c r="D23">
        <v>360000</v>
      </c>
      <c r="E23" t="s">
        <v>25</v>
      </c>
      <c r="F23">
        <v>30000</v>
      </c>
      <c r="G23" t="s">
        <v>30</v>
      </c>
      <c r="H23" t="s">
        <v>13</v>
      </c>
      <c r="I23" t="s">
        <v>31</v>
      </c>
      <c r="J23">
        <v>2</v>
      </c>
    </row>
    <row r="24" spans="1:10" x14ac:dyDescent="0.3">
      <c r="A24" t="s">
        <v>10</v>
      </c>
      <c r="B24">
        <v>23</v>
      </c>
      <c r="C24">
        <v>1</v>
      </c>
      <c r="D24">
        <v>0</v>
      </c>
      <c r="E24" t="s">
        <v>18</v>
      </c>
      <c r="F24">
        <v>10</v>
      </c>
      <c r="G24" t="s">
        <v>16</v>
      </c>
      <c r="H24" t="s">
        <v>24</v>
      </c>
      <c r="I24" t="s">
        <v>31</v>
      </c>
      <c r="J24">
        <v>10</v>
      </c>
    </row>
    <row r="25" spans="1:10" x14ac:dyDescent="0.3">
      <c r="A25" t="s">
        <v>10</v>
      </c>
      <c r="B25">
        <v>22</v>
      </c>
      <c r="C25">
        <v>0</v>
      </c>
      <c r="D25">
        <v>0</v>
      </c>
      <c r="E25" t="s">
        <v>18</v>
      </c>
      <c r="F25">
        <v>100</v>
      </c>
      <c r="G25" t="s">
        <v>30</v>
      </c>
      <c r="H25" t="s">
        <v>17</v>
      </c>
      <c r="I25" t="s">
        <v>35</v>
      </c>
      <c r="J25">
        <v>10</v>
      </c>
    </row>
    <row r="26" spans="1:10" x14ac:dyDescent="0.3">
      <c r="A26" t="s">
        <v>10</v>
      </c>
      <c r="B26">
        <v>18</v>
      </c>
      <c r="C26">
        <v>0</v>
      </c>
      <c r="D26">
        <v>0</v>
      </c>
      <c r="E26" t="s">
        <v>11</v>
      </c>
      <c r="F26">
        <v>5000</v>
      </c>
      <c r="G26" t="s">
        <v>34</v>
      </c>
      <c r="H26" t="s">
        <v>13</v>
      </c>
      <c r="I26" t="s">
        <v>20</v>
      </c>
      <c r="J26">
        <v>25</v>
      </c>
    </row>
    <row r="27" spans="1:10" x14ac:dyDescent="0.3">
      <c r="A27" t="s">
        <v>10</v>
      </c>
      <c r="B27">
        <v>20</v>
      </c>
      <c r="C27">
        <v>0</v>
      </c>
      <c r="D27">
        <v>0</v>
      </c>
      <c r="E27" t="s">
        <v>18</v>
      </c>
      <c r="F27">
        <v>0</v>
      </c>
      <c r="G27" t="s">
        <v>12</v>
      </c>
      <c r="H27" t="s">
        <v>13</v>
      </c>
      <c r="I27" t="s">
        <v>29</v>
      </c>
      <c r="J27">
        <v>2</v>
      </c>
    </row>
    <row r="28" spans="1:10" x14ac:dyDescent="0.3">
      <c r="A28" t="s">
        <v>10</v>
      </c>
      <c r="B28">
        <v>28</v>
      </c>
      <c r="C28">
        <v>1</v>
      </c>
      <c r="D28">
        <v>250000</v>
      </c>
      <c r="E28" t="s">
        <v>18</v>
      </c>
      <c r="F28">
        <v>1500</v>
      </c>
      <c r="G28" t="s">
        <v>30</v>
      </c>
      <c r="H28" t="s">
        <v>17</v>
      </c>
      <c r="I28" t="s">
        <v>14</v>
      </c>
      <c r="J28">
        <v>4</v>
      </c>
    </row>
    <row r="29" spans="1:10" x14ac:dyDescent="0.3">
      <c r="A29" t="s">
        <v>10</v>
      </c>
      <c r="B29">
        <v>23</v>
      </c>
      <c r="C29">
        <v>0</v>
      </c>
      <c r="D29">
        <v>0</v>
      </c>
      <c r="E29" t="s">
        <v>18</v>
      </c>
      <c r="F29">
        <v>10000</v>
      </c>
      <c r="G29" t="s">
        <v>30</v>
      </c>
      <c r="H29" t="s">
        <v>19</v>
      </c>
      <c r="I29" t="s">
        <v>14</v>
      </c>
      <c r="J29">
        <v>5</v>
      </c>
    </row>
    <row r="30" spans="1:10" x14ac:dyDescent="0.3">
      <c r="A30" t="s">
        <v>15</v>
      </c>
      <c r="B30">
        <v>28</v>
      </c>
      <c r="C30">
        <v>1</v>
      </c>
      <c r="D30">
        <v>120000</v>
      </c>
      <c r="E30" t="s">
        <v>21</v>
      </c>
      <c r="F30">
        <v>1000</v>
      </c>
      <c r="G30" t="s">
        <v>22</v>
      </c>
      <c r="H30" t="s">
        <v>13</v>
      </c>
      <c r="I30" t="s">
        <v>31</v>
      </c>
      <c r="J30">
        <v>5</v>
      </c>
    </row>
    <row r="31" spans="1:10" x14ac:dyDescent="0.3">
      <c r="A31" t="s">
        <v>10</v>
      </c>
      <c r="B31">
        <v>48</v>
      </c>
      <c r="C31">
        <v>0</v>
      </c>
      <c r="D31">
        <v>0</v>
      </c>
      <c r="E31" t="s">
        <v>11</v>
      </c>
      <c r="F31">
        <v>1000</v>
      </c>
      <c r="G31" t="s">
        <v>30</v>
      </c>
      <c r="H31" t="s">
        <v>13</v>
      </c>
      <c r="I31" t="s">
        <v>29</v>
      </c>
      <c r="J31">
        <v>5</v>
      </c>
    </row>
    <row r="32" spans="1:10" x14ac:dyDescent="0.3">
      <c r="A32" t="s">
        <v>10</v>
      </c>
      <c r="B32">
        <v>23</v>
      </c>
      <c r="C32">
        <v>0</v>
      </c>
      <c r="D32">
        <v>0</v>
      </c>
      <c r="E32" t="s">
        <v>18</v>
      </c>
      <c r="F32">
        <v>20000</v>
      </c>
      <c r="G32" t="s">
        <v>30</v>
      </c>
      <c r="H32" t="s">
        <v>13</v>
      </c>
      <c r="I32" t="s">
        <v>29</v>
      </c>
      <c r="J32">
        <v>2</v>
      </c>
    </row>
    <row r="33" spans="1:10" x14ac:dyDescent="0.3">
      <c r="A33" t="s">
        <v>15</v>
      </c>
      <c r="B33">
        <v>23</v>
      </c>
      <c r="C33">
        <v>0</v>
      </c>
      <c r="D33">
        <v>0</v>
      </c>
      <c r="E33" t="s">
        <v>36</v>
      </c>
      <c r="F33">
        <v>5000</v>
      </c>
      <c r="G33" t="s">
        <v>30</v>
      </c>
      <c r="H33" t="s">
        <v>13</v>
      </c>
      <c r="I33" t="s">
        <v>20</v>
      </c>
      <c r="J33">
        <v>2</v>
      </c>
    </row>
    <row r="34" spans="1:10" x14ac:dyDescent="0.3">
      <c r="A34" t="s">
        <v>15</v>
      </c>
      <c r="B34">
        <v>23</v>
      </c>
      <c r="C34">
        <v>1</v>
      </c>
      <c r="D34">
        <v>150000</v>
      </c>
      <c r="E34" t="s">
        <v>28</v>
      </c>
      <c r="F34">
        <v>2000</v>
      </c>
      <c r="G34" t="s">
        <v>12</v>
      </c>
      <c r="H34" t="s">
        <v>13</v>
      </c>
      <c r="I34" t="s">
        <v>33</v>
      </c>
      <c r="J34">
        <v>4</v>
      </c>
    </row>
    <row r="35" spans="1:10" x14ac:dyDescent="0.3">
      <c r="A35" t="s">
        <v>15</v>
      </c>
      <c r="B35">
        <v>26</v>
      </c>
      <c r="C35">
        <v>1</v>
      </c>
      <c r="D35">
        <v>300000</v>
      </c>
      <c r="E35" t="s">
        <v>21</v>
      </c>
      <c r="F35">
        <v>2000</v>
      </c>
      <c r="G35" t="s">
        <v>22</v>
      </c>
      <c r="H35" t="s">
        <v>17</v>
      </c>
      <c r="I35" t="s">
        <v>14</v>
      </c>
      <c r="J35">
        <v>10</v>
      </c>
    </row>
    <row r="36" spans="1:10" x14ac:dyDescent="0.3">
      <c r="A36" t="s">
        <v>15</v>
      </c>
      <c r="B36">
        <v>24</v>
      </c>
      <c r="C36">
        <v>1</v>
      </c>
      <c r="D36">
        <v>200000</v>
      </c>
      <c r="E36" t="s">
        <v>37</v>
      </c>
      <c r="F36">
        <v>3000</v>
      </c>
      <c r="G36" t="s">
        <v>12</v>
      </c>
      <c r="H36" t="s">
        <v>13</v>
      </c>
      <c r="I36" t="s">
        <v>35</v>
      </c>
      <c r="J36">
        <v>10</v>
      </c>
    </row>
    <row r="37" spans="1:10" x14ac:dyDescent="0.3">
      <c r="A37" t="s">
        <v>10</v>
      </c>
      <c r="B37">
        <v>20</v>
      </c>
      <c r="C37">
        <v>0</v>
      </c>
      <c r="D37">
        <v>0</v>
      </c>
      <c r="E37" t="s">
        <v>11</v>
      </c>
      <c r="F37">
        <v>2000</v>
      </c>
      <c r="G37" t="s">
        <v>12</v>
      </c>
      <c r="H37" t="s">
        <v>13</v>
      </c>
      <c r="I37" t="s">
        <v>29</v>
      </c>
      <c r="J37">
        <v>6</v>
      </c>
    </row>
    <row r="38" spans="1:10" x14ac:dyDescent="0.3">
      <c r="A38" t="s">
        <v>10</v>
      </c>
      <c r="B38">
        <v>19</v>
      </c>
      <c r="C38">
        <v>0</v>
      </c>
      <c r="D38">
        <v>0</v>
      </c>
      <c r="E38" t="s">
        <v>18</v>
      </c>
      <c r="F38">
        <v>5000</v>
      </c>
      <c r="G38" t="s">
        <v>16</v>
      </c>
      <c r="H38" t="s">
        <v>17</v>
      </c>
      <c r="I38" t="s">
        <v>29</v>
      </c>
      <c r="J38">
        <v>5</v>
      </c>
    </row>
    <row r="39" spans="1:10" x14ac:dyDescent="0.3">
      <c r="A39" t="s">
        <v>10</v>
      </c>
      <c r="B39">
        <v>20</v>
      </c>
      <c r="C39">
        <v>0</v>
      </c>
      <c r="D39">
        <v>80</v>
      </c>
      <c r="E39" t="s">
        <v>18</v>
      </c>
      <c r="F39">
        <v>1000</v>
      </c>
      <c r="G39" t="s">
        <v>30</v>
      </c>
      <c r="H39" t="s">
        <v>13</v>
      </c>
      <c r="I39" t="s">
        <v>29</v>
      </c>
      <c r="J39">
        <v>5</v>
      </c>
    </row>
    <row r="40" spans="1:10" x14ac:dyDescent="0.3">
      <c r="A40" t="s">
        <v>10</v>
      </c>
      <c r="B40">
        <v>22</v>
      </c>
      <c r="C40">
        <v>0</v>
      </c>
      <c r="D40">
        <v>0</v>
      </c>
      <c r="E40" t="s">
        <v>28</v>
      </c>
      <c r="F40">
        <v>2000</v>
      </c>
      <c r="G40" t="s">
        <v>30</v>
      </c>
      <c r="H40" t="s">
        <v>13</v>
      </c>
      <c r="I40" t="s">
        <v>38</v>
      </c>
      <c r="J40">
        <v>3</v>
      </c>
    </row>
    <row r="41" spans="1:10" x14ac:dyDescent="0.3">
      <c r="A41" t="s">
        <v>10</v>
      </c>
      <c r="B41">
        <v>21</v>
      </c>
      <c r="C41">
        <v>1</v>
      </c>
      <c r="D41">
        <v>120000</v>
      </c>
      <c r="E41" t="s">
        <v>21</v>
      </c>
      <c r="F41">
        <v>3000</v>
      </c>
      <c r="G41" t="s">
        <v>22</v>
      </c>
      <c r="H41" t="s">
        <v>13</v>
      </c>
      <c r="I41" t="s">
        <v>35</v>
      </c>
      <c r="J41">
        <v>10</v>
      </c>
    </row>
    <row r="42" spans="1:10" x14ac:dyDescent="0.3">
      <c r="A42" t="s">
        <v>15</v>
      </c>
      <c r="B42">
        <v>30</v>
      </c>
      <c r="C42">
        <v>1</v>
      </c>
      <c r="D42">
        <v>180000</v>
      </c>
      <c r="E42" t="s">
        <v>21</v>
      </c>
      <c r="F42">
        <v>3000</v>
      </c>
      <c r="G42" t="s">
        <v>12</v>
      </c>
      <c r="H42" t="s">
        <v>13</v>
      </c>
      <c r="I42" t="s">
        <v>29</v>
      </c>
      <c r="J42">
        <v>10</v>
      </c>
    </row>
    <row r="43" spans="1:10" x14ac:dyDescent="0.3">
      <c r="A43" t="s">
        <v>15</v>
      </c>
      <c r="B43">
        <v>45</v>
      </c>
      <c r="C43">
        <v>1</v>
      </c>
      <c r="D43">
        <v>200000</v>
      </c>
      <c r="E43" t="s">
        <v>21</v>
      </c>
      <c r="F43">
        <v>2000</v>
      </c>
      <c r="G43" t="s">
        <v>32</v>
      </c>
      <c r="H43" t="s">
        <v>24</v>
      </c>
      <c r="I43" t="s">
        <v>14</v>
      </c>
      <c r="J43">
        <v>20</v>
      </c>
    </row>
    <row r="44" spans="1:10" x14ac:dyDescent="0.3">
      <c r="A44" t="s">
        <v>10</v>
      </c>
      <c r="B44">
        <v>21</v>
      </c>
      <c r="C44">
        <v>0</v>
      </c>
      <c r="D44">
        <v>0</v>
      </c>
      <c r="E44" t="s">
        <v>21</v>
      </c>
      <c r="F44">
        <v>10000</v>
      </c>
      <c r="G44" t="s">
        <v>12</v>
      </c>
      <c r="H44" t="s">
        <v>17</v>
      </c>
      <c r="I44" t="s">
        <v>29</v>
      </c>
      <c r="J44">
        <v>10</v>
      </c>
    </row>
    <row r="45" spans="1:10" x14ac:dyDescent="0.3">
      <c r="A45" t="s">
        <v>10</v>
      </c>
      <c r="B45">
        <v>21</v>
      </c>
      <c r="C45">
        <v>0</v>
      </c>
      <c r="D45">
        <v>0</v>
      </c>
      <c r="E45" t="s">
        <v>18</v>
      </c>
      <c r="F45">
        <v>1000</v>
      </c>
      <c r="G45" t="s">
        <v>30</v>
      </c>
      <c r="H45" t="s">
        <v>13</v>
      </c>
      <c r="I45" t="s">
        <v>20</v>
      </c>
      <c r="J45">
        <v>1</v>
      </c>
    </row>
    <row r="46" spans="1:10" x14ac:dyDescent="0.3">
      <c r="A46" t="s">
        <v>15</v>
      </c>
      <c r="B46">
        <v>22</v>
      </c>
      <c r="C46">
        <v>0</v>
      </c>
      <c r="D46">
        <v>0</v>
      </c>
      <c r="E46" t="s">
        <v>11</v>
      </c>
      <c r="F46">
        <v>2000</v>
      </c>
      <c r="G46" t="s">
        <v>12</v>
      </c>
      <c r="H46" t="s">
        <v>13</v>
      </c>
      <c r="I46" t="s">
        <v>29</v>
      </c>
      <c r="J46">
        <v>10</v>
      </c>
    </row>
    <row r="47" spans="1:10" x14ac:dyDescent="0.3">
      <c r="A47" t="s">
        <v>10</v>
      </c>
      <c r="B47">
        <v>24</v>
      </c>
      <c r="C47">
        <v>1</v>
      </c>
      <c r="D47">
        <v>200000</v>
      </c>
      <c r="E47" t="s">
        <v>18</v>
      </c>
      <c r="F47">
        <v>1000</v>
      </c>
      <c r="G47" t="s">
        <v>30</v>
      </c>
      <c r="H47" t="s">
        <v>17</v>
      </c>
      <c r="I47" t="s">
        <v>29</v>
      </c>
      <c r="J47">
        <v>10</v>
      </c>
    </row>
    <row r="48" spans="1:10" x14ac:dyDescent="0.3">
      <c r="A48" t="s">
        <v>15</v>
      </c>
      <c r="B48">
        <v>22</v>
      </c>
      <c r="C48">
        <v>0</v>
      </c>
      <c r="D48">
        <v>0</v>
      </c>
      <c r="E48" t="s">
        <v>11</v>
      </c>
      <c r="F48">
        <v>500</v>
      </c>
      <c r="G48" t="s">
        <v>12</v>
      </c>
      <c r="H48" t="s">
        <v>13</v>
      </c>
      <c r="I48" t="s">
        <v>29</v>
      </c>
      <c r="J48">
        <v>6</v>
      </c>
    </row>
    <row r="49" spans="1:10" x14ac:dyDescent="0.3">
      <c r="A49" t="s">
        <v>10</v>
      </c>
      <c r="B49">
        <v>24</v>
      </c>
      <c r="C49">
        <v>0</v>
      </c>
      <c r="D49">
        <v>0</v>
      </c>
      <c r="E49" t="s">
        <v>18</v>
      </c>
      <c r="F49">
        <v>1000</v>
      </c>
      <c r="G49" t="s">
        <v>16</v>
      </c>
      <c r="H49" t="s">
        <v>24</v>
      </c>
      <c r="I49" t="s">
        <v>14</v>
      </c>
      <c r="J49">
        <v>7</v>
      </c>
    </row>
    <row r="50" spans="1:10" x14ac:dyDescent="0.3">
      <c r="A50" t="s">
        <v>15</v>
      </c>
      <c r="B50">
        <v>29</v>
      </c>
      <c r="C50">
        <v>1</v>
      </c>
      <c r="D50">
        <v>280000</v>
      </c>
      <c r="E50" t="s">
        <v>28</v>
      </c>
      <c r="F50">
        <v>4000</v>
      </c>
      <c r="G50" t="s">
        <v>12</v>
      </c>
      <c r="H50" t="s">
        <v>13</v>
      </c>
      <c r="I50" t="s">
        <v>29</v>
      </c>
      <c r="J50">
        <v>4</v>
      </c>
    </row>
    <row r="51" spans="1:10" x14ac:dyDescent="0.3">
      <c r="A51" t="s">
        <v>10</v>
      </c>
      <c r="B51">
        <v>26</v>
      </c>
      <c r="C51">
        <v>1</v>
      </c>
      <c r="D51">
        <v>350000</v>
      </c>
      <c r="E51" t="s">
        <v>21</v>
      </c>
      <c r="F51">
        <v>3000</v>
      </c>
      <c r="G51" t="s">
        <v>39</v>
      </c>
      <c r="H51" t="s">
        <v>19</v>
      </c>
      <c r="I51" t="s">
        <v>40</v>
      </c>
      <c r="J51">
        <v>10</v>
      </c>
    </row>
    <row r="52" spans="1:10" x14ac:dyDescent="0.3">
      <c r="A52" t="s">
        <v>10</v>
      </c>
      <c r="B52">
        <v>22</v>
      </c>
      <c r="C52">
        <v>0</v>
      </c>
      <c r="D52">
        <v>0</v>
      </c>
      <c r="E52" t="s">
        <v>18</v>
      </c>
      <c r="F52">
        <v>2000</v>
      </c>
      <c r="G52" t="s">
        <v>30</v>
      </c>
      <c r="H52" t="s">
        <v>17</v>
      </c>
      <c r="I52" t="s">
        <v>29</v>
      </c>
      <c r="J52">
        <v>6</v>
      </c>
    </row>
    <row r="53" spans="1:10" x14ac:dyDescent="0.3">
      <c r="A53" t="s">
        <v>15</v>
      </c>
      <c r="B53">
        <v>27</v>
      </c>
      <c r="C53">
        <v>1</v>
      </c>
      <c r="D53">
        <v>400000</v>
      </c>
      <c r="E53" t="s">
        <v>21</v>
      </c>
      <c r="F53">
        <v>5000</v>
      </c>
      <c r="G53" t="s">
        <v>16</v>
      </c>
      <c r="H53" t="s">
        <v>17</v>
      </c>
      <c r="I53" t="s">
        <v>40</v>
      </c>
      <c r="J53">
        <v>8</v>
      </c>
    </row>
    <row r="54" spans="1:10" x14ac:dyDescent="0.3">
      <c r="A54" t="s">
        <v>10</v>
      </c>
      <c r="B54">
        <v>24</v>
      </c>
      <c r="C54">
        <v>1</v>
      </c>
      <c r="D54">
        <v>250000</v>
      </c>
      <c r="E54" t="s">
        <v>18</v>
      </c>
      <c r="F54">
        <v>2000</v>
      </c>
      <c r="G54" t="s">
        <v>30</v>
      </c>
      <c r="H54" t="s">
        <v>13</v>
      </c>
      <c r="I54" t="s">
        <v>33</v>
      </c>
      <c r="J54">
        <v>6</v>
      </c>
    </row>
    <row r="55" spans="1:10" x14ac:dyDescent="0.3">
      <c r="A55" t="s">
        <v>10</v>
      </c>
      <c r="B55">
        <v>25</v>
      </c>
      <c r="C55">
        <v>1</v>
      </c>
      <c r="D55">
        <v>400000</v>
      </c>
      <c r="E55" t="s">
        <v>21</v>
      </c>
      <c r="F55">
        <v>2500</v>
      </c>
      <c r="G55" t="s">
        <v>34</v>
      </c>
      <c r="H55" t="s">
        <v>13</v>
      </c>
      <c r="I55" t="s">
        <v>35</v>
      </c>
      <c r="J55">
        <v>10</v>
      </c>
    </row>
    <row r="56" spans="1:10" x14ac:dyDescent="0.3">
      <c r="A56" t="s">
        <v>15</v>
      </c>
      <c r="B56">
        <v>22</v>
      </c>
      <c r="C56">
        <v>0</v>
      </c>
      <c r="D56">
        <v>0</v>
      </c>
      <c r="E56" t="s">
        <v>18</v>
      </c>
      <c r="F56">
        <v>500</v>
      </c>
      <c r="G56" t="s">
        <v>30</v>
      </c>
      <c r="H56" t="s">
        <v>24</v>
      </c>
      <c r="I56" t="s">
        <v>33</v>
      </c>
      <c r="J56">
        <v>5</v>
      </c>
    </row>
    <row r="57" spans="1:10" x14ac:dyDescent="0.3">
      <c r="A57" t="s">
        <v>10</v>
      </c>
      <c r="B57">
        <v>26</v>
      </c>
      <c r="C57">
        <v>1</v>
      </c>
      <c r="D57">
        <v>400000</v>
      </c>
      <c r="E57" t="s">
        <v>37</v>
      </c>
      <c r="F57">
        <v>4500</v>
      </c>
      <c r="G57" t="s">
        <v>41</v>
      </c>
      <c r="H57" t="s">
        <v>13</v>
      </c>
      <c r="I57" t="s">
        <v>14</v>
      </c>
      <c r="J57">
        <v>10</v>
      </c>
    </row>
    <row r="58" spans="1:10" x14ac:dyDescent="0.3">
      <c r="A58" t="s">
        <v>10</v>
      </c>
      <c r="B58">
        <v>21</v>
      </c>
      <c r="C58">
        <v>0</v>
      </c>
      <c r="D58">
        <v>0</v>
      </c>
      <c r="E58" t="s">
        <v>25</v>
      </c>
      <c r="F58">
        <v>0</v>
      </c>
      <c r="G58" t="s">
        <v>16</v>
      </c>
      <c r="H58" t="s">
        <v>17</v>
      </c>
      <c r="I58" t="s">
        <v>35</v>
      </c>
      <c r="J58">
        <v>15</v>
      </c>
    </row>
    <row r="59" spans="1:10" x14ac:dyDescent="0.3">
      <c r="A59" t="s">
        <v>10</v>
      </c>
      <c r="B59">
        <v>28</v>
      </c>
      <c r="C59">
        <v>1</v>
      </c>
      <c r="D59">
        <v>350000</v>
      </c>
      <c r="E59" t="s">
        <v>21</v>
      </c>
      <c r="F59">
        <v>5000</v>
      </c>
      <c r="G59" t="s">
        <v>34</v>
      </c>
      <c r="H59" t="s">
        <v>13</v>
      </c>
      <c r="I59" t="s">
        <v>31</v>
      </c>
      <c r="J59">
        <v>15</v>
      </c>
    </row>
    <row r="60" spans="1:10" x14ac:dyDescent="0.3">
      <c r="A60" t="s">
        <v>15</v>
      </c>
      <c r="B60">
        <v>24</v>
      </c>
      <c r="C60">
        <v>1</v>
      </c>
      <c r="D60">
        <v>200000</v>
      </c>
      <c r="E60" t="s">
        <v>18</v>
      </c>
      <c r="F60">
        <v>1000</v>
      </c>
      <c r="G60" t="s">
        <v>30</v>
      </c>
      <c r="H60" t="s">
        <v>17</v>
      </c>
      <c r="I60" t="s">
        <v>20</v>
      </c>
      <c r="J60">
        <v>15</v>
      </c>
    </row>
    <row r="61" spans="1:10" x14ac:dyDescent="0.3">
      <c r="A61" t="s">
        <v>10</v>
      </c>
      <c r="B61">
        <v>25</v>
      </c>
      <c r="C61">
        <v>1</v>
      </c>
      <c r="D61">
        <v>350000</v>
      </c>
      <c r="E61" t="s">
        <v>28</v>
      </c>
      <c r="F61">
        <v>2500</v>
      </c>
      <c r="G61" t="s">
        <v>12</v>
      </c>
      <c r="H61" t="s">
        <v>13</v>
      </c>
      <c r="I61" t="s">
        <v>40</v>
      </c>
      <c r="J61">
        <v>4</v>
      </c>
    </row>
    <row r="62" spans="1:10" x14ac:dyDescent="0.3">
      <c r="A62" t="s">
        <v>10</v>
      </c>
      <c r="B62">
        <v>26</v>
      </c>
      <c r="C62">
        <v>1</v>
      </c>
      <c r="D62">
        <v>400000</v>
      </c>
      <c r="E62" t="s">
        <v>21</v>
      </c>
      <c r="F62">
        <v>2500</v>
      </c>
      <c r="G62" t="s">
        <v>22</v>
      </c>
      <c r="H62" t="s">
        <v>19</v>
      </c>
      <c r="I62" t="s">
        <v>33</v>
      </c>
      <c r="J62">
        <v>10</v>
      </c>
    </row>
    <row r="63" spans="1:10" x14ac:dyDescent="0.3">
      <c r="A63" t="s">
        <v>15</v>
      </c>
      <c r="B63">
        <v>18</v>
      </c>
      <c r="C63">
        <v>0</v>
      </c>
      <c r="D63">
        <v>0</v>
      </c>
      <c r="E63" t="s">
        <v>11</v>
      </c>
      <c r="F63">
        <v>200</v>
      </c>
      <c r="G63" t="s">
        <v>12</v>
      </c>
      <c r="H63" t="s">
        <v>13</v>
      </c>
      <c r="I63" t="s">
        <v>29</v>
      </c>
      <c r="J63">
        <v>5</v>
      </c>
    </row>
    <row r="64" spans="1:10" x14ac:dyDescent="0.3">
      <c r="A64" t="s">
        <v>10</v>
      </c>
      <c r="B64">
        <v>27</v>
      </c>
      <c r="C64">
        <v>1</v>
      </c>
      <c r="D64">
        <v>400000</v>
      </c>
      <c r="E64" t="s">
        <v>18</v>
      </c>
      <c r="F64">
        <v>1000</v>
      </c>
      <c r="G64" t="s">
        <v>16</v>
      </c>
      <c r="H64" t="s">
        <v>17</v>
      </c>
      <c r="I64" t="s">
        <v>14</v>
      </c>
      <c r="J64">
        <v>8</v>
      </c>
    </row>
    <row r="65" spans="1:10" x14ac:dyDescent="0.3">
      <c r="A65" t="s">
        <v>10</v>
      </c>
      <c r="B65">
        <v>27</v>
      </c>
      <c r="C65">
        <v>1</v>
      </c>
      <c r="D65">
        <v>250000</v>
      </c>
      <c r="E65" t="s">
        <v>18</v>
      </c>
      <c r="F65">
        <v>1500</v>
      </c>
      <c r="G65" t="s">
        <v>30</v>
      </c>
      <c r="H65" t="s">
        <v>17</v>
      </c>
      <c r="I65" t="s">
        <v>35</v>
      </c>
      <c r="J65">
        <v>5</v>
      </c>
    </row>
    <row r="66" spans="1:10" x14ac:dyDescent="0.3">
      <c r="A66" t="s">
        <v>15</v>
      </c>
      <c r="B66">
        <v>23</v>
      </c>
      <c r="C66">
        <v>1</v>
      </c>
      <c r="D66">
        <v>150000</v>
      </c>
      <c r="E66" t="s">
        <v>18</v>
      </c>
      <c r="F66">
        <v>1000</v>
      </c>
      <c r="G66" t="s">
        <v>12</v>
      </c>
      <c r="H66" t="s">
        <v>13</v>
      </c>
      <c r="I66" t="s">
        <v>29</v>
      </c>
      <c r="J66">
        <v>7</v>
      </c>
    </row>
    <row r="67" spans="1:10" x14ac:dyDescent="0.3">
      <c r="A67" t="s">
        <v>10</v>
      </c>
      <c r="B67">
        <v>36</v>
      </c>
      <c r="C67">
        <v>1</v>
      </c>
      <c r="D67">
        <v>600000</v>
      </c>
      <c r="E67" t="s">
        <v>37</v>
      </c>
      <c r="F67">
        <v>8500</v>
      </c>
      <c r="G67" t="s">
        <v>30</v>
      </c>
      <c r="H67" t="s">
        <v>19</v>
      </c>
      <c r="I67" t="s">
        <v>40</v>
      </c>
      <c r="J67">
        <v>10</v>
      </c>
    </row>
    <row r="68" spans="1:10" x14ac:dyDescent="0.3">
      <c r="A68" t="s">
        <v>15</v>
      </c>
      <c r="B68">
        <v>29</v>
      </c>
      <c r="C68">
        <v>0</v>
      </c>
      <c r="D68">
        <v>0</v>
      </c>
      <c r="E68" t="s">
        <v>42</v>
      </c>
      <c r="F68">
        <v>1000</v>
      </c>
      <c r="G68" t="s">
        <v>12</v>
      </c>
      <c r="H68" t="s">
        <v>13</v>
      </c>
      <c r="I68" t="s">
        <v>29</v>
      </c>
      <c r="J68">
        <v>1</v>
      </c>
    </row>
    <row r="69" spans="1:10" x14ac:dyDescent="0.3">
      <c r="A69" t="s">
        <v>10</v>
      </c>
      <c r="B69">
        <v>28</v>
      </c>
      <c r="C69">
        <v>1</v>
      </c>
      <c r="D69">
        <v>400000</v>
      </c>
      <c r="E69" t="s">
        <v>18</v>
      </c>
      <c r="F69">
        <v>1200</v>
      </c>
      <c r="G69" t="s">
        <v>16</v>
      </c>
      <c r="H69" t="s">
        <v>17</v>
      </c>
      <c r="I69" t="s">
        <v>20</v>
      </c>
      <c r="J69">
        <v>15</v>
      </c>
    </row>
    <row r="70" spans="1:10" x14ac:dyDescent="0.3">
      <c r="A70" t="s">
        <v>10</v>
      </c>
      <c r="B70">
        <v>23</v>
      </c>
      <c r="C70">
        <v>1</v>
      </c>
      <c r="D70">
        <v>150000</v>
      </c>
      <c r="E70" t="s">
        <v>21</v>
      </c>
      <c r="F70">
        <v>500</v>
      </c>
      <c r="G70" t="s">
        <v>22</v>
      </c>
      <c r="H70" t="s">
        <v>43</v>
      </c>
      <c r="I70" t="s">
        <v>14</v>
      </c>
      <c r="J70">
        <v>8</v>
      </c>
    </row>
    <row r="71" spans="1:10" x14ac:dyDescent="0.3">
      <c r="A71" t="s">
        <v>15</v>
      </c>
      <c r="B71">
        <v>27</v>
      </c>
      <c r="C71">
        <v>1</v>
      </c>
      <c r="D71">
        <v>350000</v>
      </c>
      <c r="E71" t="s">
        <v>11</v>
      </c>
      <c r="F71">
        <v>2500</v>
      </c>
      <c r="G71" t="s">
        <v>12</v>
      </c>
      <c r="H71" t="s">
        <v>13</v>
      </c>
      <c r="I71" t="s">
        <v>31</v>
      </c>
      <c r="J71">
        <v>10</v>
      </c>
    </row>
    <row r="72" spans="1:10" x14ac:dyDescent="0.3">
      <c r="A72" t="s">
        <v>10</v>
      </c>
      <c r="B72">
        <v>29</v>
      </c>
      <c r="C72">
        <v>1</v>
      </c>
      <c r="D72">
        <v>400000</v>
      </c>
      <c r="E72" t="s">
        <v>21</v>
      </c>
      <c r="F72">
        <v>3000</v>
      </c>
      <c r="G72" t="s">
        <v>30</v>
      </c>
      <c r="H72" t="s">
        <v>24</v>
      </c>
      <c r="I72" t="s">
        <v>31</v>
      </c>
      <c r="J72">
        <v>10</v>
      </c>
    </row>
    <row r="73" spans="1:10" x14ac:dyDescent="0.3">
      <c r="A73" t="s">
        <v>15</v>
      </c>
      <c r="B73">
        <v>25</v>
      </c>
      <c r="C73">
        <v>1</v>
      </c>
      <c r="D73">
        <v>400000</v>
      </c>
      <c r="E73" t="s">
        <v>21</v>
      </c>
      <c r="F73">
        <v>3000</v>
      </c>
      <c r="G73" t="s">
        <v>34</v>
      </c>
      <c r="H73" t="s">
        <v>17</v>
      </c>
      <c r="I73" t="s">
        <v>14</v>
      </c>
      <c r="J73">
        <v>8</v>
      </c>
    </row>
    <row r="74" spans="1:10" x14ac:dyDescent="0.3">
      <c r="A74" t="s">
        <v>10</v>
      </c>
      <c r="B74">
        <v>35</v>
      </c>
      <c r="C74">
        <v>1</v>
      </c>
      <c r="D74">
        <v>300000</v>
      </c>
      <c r="E74" t="s">
        <v>11</v>
      </c>
      <c r="F74">
        <v>2000</v>
      </c>
      <c r="G74" t="s">
        <v>34</v>
      </c>
      <c r="H74" t="s">
        <v>17</v>
      </c>
      <c r="I74" t="s">
        <v>20</v>
      </c>
      <c r="J74">
        <v>10</v>
      </c>
    </row>
    <row r="75" spans="1:10" x14ac:dyDescent="0.3">
      <c r="A75" t="s">
        <v>10</v>
      </c>
      <c r="B75">
        <v>37</v>
      </c>
      <c r="C75">
        <v>1</v>
      </c>
      <c r="D75">
        <v>400000</v>
      </c>
      <c r="E75" t="s">
        <v>11</v>
      </c>
      <c r="F75">
        <v>5000</v>
      </c>
      <c r="G75" t="s">
        <v>22</v>
      </c>
      <c r="H75" t="s">
        <v>19</v>
      </c>
      <c r="I75" t="s">
        <v>40</v>
      </c>
      <c r="J75">
        <v>21</v>
      </c>
    </row>
    <row r="76" spans="1:10" x14ac:dyDescent="0.3">
      <c r="A76" t="s">
        <v>15</v>
      </c>
      <c r="B76">
        <v>23</v>
      </c>
      <c r="C76">
        <v>1</v>
      </c>
      <c r="D76">
        <v>400000</v>
      </c>
      <c r="E76" t="s">
        <v>11</v>
      </c>
      <c r="F76">
        <v>15000</v>
      </c>
      <c r="G76" t="s">
        <v>12</v>
      </c>
      <c r="H76" t="s">
        <v>13</v>
      </c>
      <c r="I76" t="s">
        <v>29</v>
      </c>
      <c r="J76">
        <v>2</v>
      </c>
    </row>
    <row r="77" spans="1:10" x14ac:dyDescent="0.3">
      <c r="A77" t="s">
        <v>10</v>
      </c>
      <c r="B77">
        <v>18</v>
      </c>
      <c r="C77">
        <v>0</v>
      </c>
      <c r="D77">
        <v>0</v>
      </c>
      <c r="E77" t="s">
        <v>25</v>
      </c>
      <c r="F77">
        <v>5000</v>
      </c>
      <c r="G77" t="s">
        <v>16</v>
      </c>
      <c r="H77" t="s">
        <v>17</v>
      </c>
      <c r="I77" t="s">
        <v>35</v>
      </c>
      <c r="J77">
        <v>5</v>
      </c>
    </row>
    <row r="78" spans="1:10" x14ac:dyDescent="0.3">
      <c r="A78" t="s">
        <v>10</v>
      </c>
      <c r="B78">
        <v>20</v>
      </c>
      <c r="C78">
        <v>0</v>
      </c>
      <c r="D78">
        <v>0</v>
      </c>
      <c r="E78" t="s">
        <v>21</v>
      </c>
      <c r="F78">
        <v>600</v>
      </c>
      <c r="G78" t="s">
        <v>30</v>
      </c>
      <c r="H78" t="s">
        <v>24</v>
      </c>
      <c r="I78" t="s">
        <v>31</v>
      </c>
      <c r="J78">
        <v>15</v>
      </c>
    </row>
    <row r="79" spans="1:10" x14ac:dyDescent="0.3">
      <c r="A79" t="s">
        <v>15</v>
      </c>
      <c r="B79">
        <v>24</v>
      </c>
      <c r="C79">
        <v>0</v>
      </c>
      <c r="D79">
        <v>0</v>
      </c>
      <c r="E79" t="s">
        <v>28</v>
      </c>
      <c r="F79">
        <v>500</v>
      </c>
      <c r="G79" t="s">
        <v>34</v>
      </c>
      <c r="H79" t="s">
        <v>13</v>
      </c>
      <c r="I79" t="s">
        <v>14</v>
      </c>
      <c r="J79">
        <v>7</v>
      </c>
    </row>
    <row r="80" spans="1:10" x14ac:dyDescent="0.3">
      <c r="A80" t="s">
        <v>15</v>
      </c>
      <c r="B80">
        <v>26</v>
      </c>
      <c r="C80">
        <v>1</v>
      </c>
      <c r="D80">
        <v>350000</v>
      </c>
      <c r="E80" t="s">
        <v>28</v>
      </c>
      <c r="F80">
        <v>2500</v>
      </c>
      <c r="G80" t="s">
        <v>44</v>
      </c>
      <c r="H80" t="s">
        <v>13</v>
      </c>
      <c r="I80" t="s">
        <v>29</v>
      </c>
      <c r="J80">
        <v>5</v>
      </c>
    </row>
    <row r="81" spans="1:10" x14ac:dyDescent="0.3">
      <c r="A81" t="s">
        <v>15</v>
      </c>
      <c r="B81">
        <v>27</v>
      </c>
      <c r="C81">
        <v>0</v>
      </c>
      <c r="D81">
        <v>0</v>
      </c>
      <c r="E81" t="s">
        <v>28</v>
      </c>
      <c r="F81">
        <v>1500</v>
      </c>
      <c r="G81" t="s">
        <v>12</v>
      </c>
      <c r="H81" t="s">
        <v>13</v>
      </c>
      <c r="I81" t="s">
        <v>14</v>
      </c>
      <c r="J81">
        <v>6</v>
      </c>
    </row>
    <row r="82" spans="1:10" x14ac:dyDescent="0.3">
      <c r="A82" t="s">
        <v>10</v>
      </c>
      <c r="B82">
        <v>25</v>
      </c>
      <c r="C82">
        <v>1</v>
      </c>
      <c r="D82">
        <v>200000</v>
      </c>
      <c r="E82" t="s">
        <v>21</v>
      </c>
      <c r="F82">
        <v>1000</v>
      </c>
      <c r="G82" t="s">
        <v>30</v>
      </c>
      <c r="H82" t="s">
        <v>13</v>
      </c>
      <c r="I82" t="s">
        <v>14</v>
      </c>
      <c r="J82">
        <v>10</v>
      </c>
    </row>
    <row r="83" spans="1:10" x14ac:dyDescent="0.3">
      <c r="A83" t="s">
        <v>15</v>
      </c>
      <c r="B83">
        <v>32</v>
      </c>
      <c r="C83">
        <v>1</v>
      </c>
      <c r="D83">
        <v>300000</v>
      </c>
      <c r="E83" t="s">
        <v>11</v>
      </c>
      <c r="F83">
        <v>5000</v>
      </c>
      <c r="G83" t="s">
        <v>34</v>
      </c>
      <c r="H83" t="s">
        <v>45</v>
      </c>
      <c r="I83" t="s">
        <v>20</v>
      </c>
      <c r="J83">
        <v>15</v>
      </c>
    </row>
    <row r="84" spans="1:10" x14ac:dyDescent="0.3">
      <c r="A84" t="s">
        <v>10</v>
      </c>
      <c r="B84">
        <v>26</v>
      </c>
      <c r="C84">
        <v>1</v>
      </c>
      <c r="D84">
        <v>250000</v>
      </c>
      <c r="E84" t="s">
        <v>18</v>
      </c>
      <c r="F84">
        <v>1500</v>
      </c>
      <c r="G84" t="s">
        <v>16</v>
      </c>
      <c r="H84" t="s">
        <v>17</v>
      </c>
      <c r="I84" t="s">
        <v>40</v>
      </c>
      <c r="J84">
        <v>5</v>
      </c>
    </row>
    <row r="85" spans="1:10" x14ac:dyDescent="0.3">
      <c r="A85" t="s">
        <v>10</v>
      </c>
      <c r="B85">
        <v>25</v>
      </c>
      <c r="C85">
        <v>1</v>
      </c>
      <c r="D85">
        <v>300000</v>
      </c>
      <c r="E85" t="s">
        <v>21</v>
      </c>
      <c r="F85">
        <v>5000</v>
      </c>
      <c r="G85" t="s">
        <v>32</v>
      </c>
      <c r="H85" t="s">
        <v>13</v>
      </c>
      <c r="I85" t="s">
        <v>14</v>
      </c>
      <c r="J85">
        <v>10</v>
      </c>
    </row>
    <row r="86" spans="1:10" x14ac:dyDescent="0.3">
      <c r="A86" t="s">
        <v>10</v>
      </c>
      <c r="B86">
        <v>24</v>
      </c>
      <c r="C86">
        <v>0</v>
      </c>
      <c r="D86">
        <v>0</v>
      </c>
      <c r="E86" t="s">
        <v>18</v>
      </c>
      <c r="F86">
        <v>500</v>
      </c>
      <c r="G86" t="s">
        <v>30</v>
      </c>
      <c r="H86" t="s">
        <v>17</v>
      </c>
      <c r="I86" t="s">
        <v>14</v>
      </c>
      <c r="J86">
        <v>5</v>
      </c>
    </row>
    <row r="87" spans="1:10" x14ac:dyDescent="0.3">
      <c r="A87" t="s">
        <v>15</v>
      </c>
      <c r="B87">
        <v>21</v>
      </c>
      <c r="C87">
        <v>0</v>
      </c>
      <c r="D87">
        <v>0</v>
      </c>
      <c r="E87" t="s">
        <v>11</v>
      </c>
      <c r="F87">
        <v>500</v>
      </c>
      <c r="G87" t="s">
        <v>12</v>
      </c>
      <c r="H87" t="s">
        <v>13</v>
      </c>
      <c r="I87" t="s">
        <v>29</v>
      </c>
      <c r="J87">
        <v>5</v>
      </c>
    </row>
    <row r="88" spans="1:10" x14ac:dyDescent="0.3">
      <c r="A88" t="s">
        <v>10</v>
      </c>
      <c r="B88">
        <v>28</v>
      </c>
      <c r="C88">
        <v>1</v>
      </c>
      <c r="D88">
        <v>350000</v>
      </c>
      <c r="E88" t="s">
        <v>28</v>
      </c>
      <c r="F88">
        <v>1500</v>
      </c>
      <c r="G88" t="s">
        <v>22</v>
      </c>
      <c r="H88" t="s">
        <v>13</v>
      </c>
      <c r="I88" t="s">
        <v>33</v>
      </c>
      <c r="J88">
        <v>5</v>
      </c>
    </row>
    <row r="89" spans="1:10" x14ac:dyDescent="0.3">
      <c r="A89" t="s">
        <v>10</v>
      </c>
      <c r="B89">
        <v>26</v>
      </c>
      <c r="C89">
        <v>1</v>
      </c>
      <c r="D89">
        <v>250000</v>
      </c>
      <c r="E89" t="s">
        <v>18</v>
      </c>
      <c r="F89">
        <v>1000</v>
      </c>
      <c r="G89" t="s">
        <v>16</v>
      </c>
      <c r="H89" t="s">
        <v>17</v>
      </c>
      <c r="I89" t="s">
        <v>14</v>
      </c>
      <c r="J89">
        <v>10</v>
      </c>
    </row>
    <row r="90" spans="1:10" x14ac:dyDescent="0.3">
      <c r="A90" t="s">
        <v>10</v>
      </c>
      <c r="B90">
        <v>27</v>
      </c>
      <c r="C90">
        <v>1</v>
      </c>
      <c r="D90">
        <v>400000</v>
      </c>
      <c r="E90" t="s">
        <v>37</v>
      </c>
      <c r="F90">
        <v>8500</v>
      </c>
      <c r="G90" t="s">
        <v>22</v>
      </c>
      <c r="H90" t="s">
        <v>13</v>
      </c>
      <c r="I90" t="s">
        <v>35</v>
      </c>
      <c r="J90">
        <v>5</v>
      </c>
    </row>
    <row r="91" spans="1:10" x14ac:dyDescent="0.3">
      <c r="A91" t="s">
        <v>15</v>
      </c>
      <c r="B91">
        <v>24</v>
      </c>
      <c r="C91">
        <v>0</v>
      </c>
      <c r="D91">
        <v>0</v>
      </c>
      <c r="E91" t="s">
        <v>11</v>
      </c>
      <c r="F91">
        <v>1000</v>
      </c>
      <c r="G91" t="s">
        <v>12</v>
      </c>
      <c r="H91" t="s">
        <v>13</v>
      </c>
      <c r="I91" t="s">
        <v>29</v>
      </c>
      <c r="J91">
        <v>8</v>
      </c>
    </row>
    <row r="92" spans="1:10" x14ac:dyDescent="0.3">
      <c r="A92" t="s">
        <v>15</v>
      </c>
      <c r="B92">
        <v>26</v>
      </c>
      <c r="C92">
        <v>1</v>
      </c>
      <c r="D92">
        <v>250000</v>
      </c>
      <c r="E92" t="s">
        <v>21</v>
      </c>
      <c r="F92">
        <v>2500</v>
      </c>
      <c r="G92" t="s">
        <v>34</v>
      </c>
      <c r="H92" t="s">
        <v>17</v>
      </c>
      <c r="I92" t="s">
        <v>14</v>
      </c>
      <c r="J92">
        <v>8</v>
      </c>
    </row>
    <row r="93" spans="1:10" x14ac:dyDescent="0.3">
      <c r="A93" t="s">
        <v>10</v>
      </c>
      <c r="B93">
        <v>21</v>
      </c>
      <c r="C93">
        <v>1</v>
      </c>
      <c r="D93">
        <v>120000</v>
      </c>
      <c r="E93" t="s">
        <v>18</v>
      </c>
      <c r="F93">
        <v>500</v>
      </c>
      <c r="G93" t="s">
        <v>30</v>
      </c>
      <c r="H93" t="s">
        <v>19</v>
      </c>
      <c r="I93" t="s">
        <v>14</v>
      </c>
      <c r="J93">
        <v>5</v>
      </c>
    </row>
    <row r="94" spans="1:10" x14ac:dyDescent="0.3">
      <c r="A94" t="s">
        <v>10</v>
      </c>
      <c r="B94">
        <v>23</v>
      </c>
      <c r="C94">
        <v>1</v>
      </c>
      <c r="D94">
        <v>200000</v>
      </c>
      <c r="E94" t="s">
        <v>21</v>
      </c>
      <c r="F94">
        <v>1500</v>
      </c>
      <c r="G94" t="s">
        <v>16</v>
      </c>
      <c r="H94" t="s">
        <v>19</v>
      </c>
      <c r="I94" t="s">
        <v>20</v>
      </c>
      <c r="J94">
        <v>9</v>
      </c>
    </row>
    <row r="95" spans="1:10" x14ac:dyDescent="0.3">
      <c r="A95" t="s">
        <v>15</v>
      </c>
      <c r="B95">
        <v>22</v>
      </c>
      <c r="C95">
        <v>1</v>
      </c>
      <c r="D95">
        <v>120000</v>
      </c>
      <c r="E95" t="s">
        <v>21</v>
      </c>
      <c r="F95">
        <v>1500</v>
      </c>
      <c r="G95" t="s">
        <v>16</v>
      </c>
      <c r="H95" t="s">
        <v>24</v>
      </c>
      <c r="I95" t="s">
        <v>14</v>
      </c>
      <c r="J95">
        <v>8</v>
      </c>
    </row>
    <row r="96" spans="1:10" x14ac:dyDescent="0.3">
      <c r="A96" t="s">
        <v>10</v>
      </c>
      <c r="B96">
        <v>25</v>
      </c>
      <c r="C96">
        <v>1</v>
      </c>
      <c r="D96">
        <v>260000</v>
      </c>
      <c r="E96" t="s">
        <v>28</v>
      </c>
      <c r="F96">
        <v>2000</v>
      </c>
      <c r="G96" t="s">
        <v>16</v>
      </c>
      <c r="H96" t="s">
        <v>13</v>
      </c>
      <c r="I96" t="s">
        <v>33</v>
      </c>
      <c r="J96">
        <v>5</v>
      </c>
    </row>
    <row r="97" spans="1:10" x14ac:dyDescent="0.3">
      <c r="A97" t="s">
        <v>10</v>
      </c>
      <c r="B97">
        <v>22</v>
      </c>
      <c r="C97">
        <v>0</v>
      </c>
      <c r="D97">
        <v>0</v>
      </c>
      <c r="E97" t="s">
        <v>18</v>
      </c>
      <c r="F97">
        <v>500</v>
      </c>
      <c r="G97" t="s">
        <v>16</v>
      </c>
      <c r="H97" t="s">
        <v>17</v>
      </c>
      <c r="I97" t="s">
        <v>14</v>
      </c>
      <c r="J97">
        <v>10</v>
      </c>
    </row>
    <row r="98" spans="1:10" x14ac:dyDescent="0.3">
      <c r="A98" t="s">
        <v>10</v>
      </c>
      <c r="B98">
        <v>29</v>
      </c>
      <c r="C98">
        <v>1</v>
      </c>
      <c r="D98">
        <v>250000</v>
      </c>
      <c r="E98" t="s">
        <v>21</v>
      </c>
      <c r="F98">
        <v>2000</v>
      </c>
      <c r="G98" t="s">
        <v>34</v>
      </c>
      <c r="H98" t="s">
        <v>19</v>
      </c>
      <c r="I98" t="s">
        <v>29</v>
      </c>
      <c r="J98">
        <v>2</v>
      </c>
    </row>
    <row r="99" spans="1:10" x14ac:dyDescent="0.3">
      <c r="A99" t="s">
        <v>15</v>
      </c>
      <c r="B99">
        <v>23</v>
      </c>
      <c r="C99">
        <v>1</v>
      </c>
      <c r="D99">
        <v>150000</v>
      </c>
      <c r="E99" t="s">
        <v>11</v>
      </c>
      <c r="F99">
        <v>1000</v>
      </c>
      <c r="G99" t="s">
        <v>12</v>
      </c>
      <c r="H99" t="s">
        <v>13</v>
      </c>
      <c r="I99" t="s">
        <v>35</v>
      </c>
      <c r="J99">
        <v>10</v>
      </c>
    </row>
    <row r="100" spans="1:10" x14ac:dyDescent="0.3">
      <c r="A100" t="s">
        <v>15</v>
      </c>
      <c r="B100">
        <v>22</v>
      </c>
      <c r="C100">
        <v>0</v>
      </c>
      <c r="D100">
        <v>0</v>
      </c>
      <c r="E100" t="s">
        <v>21</v>
      </c>
      <c r="F100">
        <v>1000</v>
      </c>
      <c r="G100" t="s">
        <v>34</v>
      </c>
      <c r="H100" t="s">
        <v>17</v>
      </c>
      <c r="I100" t="s">
        <v>14</v>
      </c>
      <c r="J100">
        <v>6</v>
      </c>
    </row>
    <row r="101" spans="1:10" x14ac:dyDescent="0.3">
      <c r="A101" t="s">
        <v>10</v>
      </c>
      <c r="B101">
        <v>26</v>
      </c>
      <c r="C101">
        <v>1</v>
      </c>
      <c r="D101">
        <v>250000</v>
      </c>
      <c r="E101" t="s">
        <v>18</v>
      </c>
      <c r="F101">
        <v>1500</v>
      </c>
      <c r="G101" t="s">
        <v>22</v>
      </c>
      <c r="H101" t="s">
        <v>13</v>
      </c>
      <c r="I101" t="s">
        <v>20</v>
      </c>
      <c r="J10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B4FB-07A4-424F-907F-F083363784A8}">
  <dimension ref="A1:L101"/>
  <sheetViews>
    <sheetView workbookViewId="0"/>
  </sheetViews>
  <sheetFormatPr defaultRowHeight="14.4" x14ac:dyDescent="0.3"/>
  <cols>
    <col min="2" max="3" width="8.88671875" style="1"/>
    <col min="4" max="4" width="18.44140625" bestFit="1" customWidth="1"/>
    <col min="5" max="5" width="13.44140625" style="1" bestFit="1" customWidth="1"/>
    <col min="6" max="6" width="13.44140625" style="12" customWidth="1"/>
    <col min="7" max="7" width="33.44140625" bestFit="1" customWidth="1"/>
    <col min="8" max="8" width="19.33203125" style="1" bestFit="1" customWidth="1"/>
    <col min="9" max="9" width="22.6640625" bestFit="1" customWidth="1"/>
    <col min="10" max="10" width="25.109375" bestFit="1" customWidth="1"/>
    <col min="11" max="11" width="38" bestFit="1" customWidth="1"/>
    <col min="12" max="12" width="8.88671875" style="1"/>
  </cols>
  <sheetData>
    <row r="1" spans="1:12" x14ac:dyDescent="0.3">
      <c r="A1" s="2" t="s">
        <v>0</v>
      </c>
      <c r="B1" s="3" t="s">
        <v>1</v>
      </c>
      <c r="C1" s="3" t="s">
        <v>100</v>
      </c>
      <c r="D1" s="2" t="s">
        <v>2</v>
      </c>
      <c r="E1" s="3" t="s">
        <v>3</v>
      </c>
      <c r="F1" s="11" t="s">
        <v>82</v>
      </c>
      <c r="G1" s="2" t="s">
        <v>4</v>
      </c>
      <c r="H1" s="3" t="s">
        <v>5</v>
      </c>
      <c r="I1" s="2" t="s">
        <v>6</v>
      </c>
      <c r="J1" s="2" t="s">
        <v>7</v>
      </c>
      <c r="K1" s="2" t="s">
        <v>8</v>
      </c>
      <c r="L1" s="3" t="s">
        <v>9</v>
      </c>
    </row>
    <row r="2" spans="1:12" x14ac:dyDescent="0.3">
      <c r="A2" t="s">
        <v>10</v>
      </c>
      <c r="B2" s="1">
        <v>19</v>
      </c>
      <c r="C2" s="1" t="str">
        <f>IF(B2&lt;=25, "Young Investors", IF(B2&lt;=35, "Middle Investors", IF(B2&lt;=45, "Old Investors", IF(B2&gt;46, "Very Old Investors"))))</f>
        <v>Young Investors</v>
      </c>
      <c r="D2">
        <v>0</v>
      </c>
      <c r="E2" s="1">
        <v>0</v>
      </c>
      <c r="F2" s="12" t="str">
        <f>IF(E2&lt;=200000,"LOW INCOME", IF(E2&lt;=400000,"MIDDLE INCOME", "HIGH INCOME"))</f>
        <v>LOW INCOME</v>
      </c>
      <c r="G2" t="s">
        <v>11</v>
      </c>
      <c r="H2" s="1">
        <v>200</v>
      </c>
      <c r="I2" t="s">
        <v>12</v>
      </c>
      <c r="J2" t="s">
        <v>13</v>
      </c>
      <c r="K2" t="s">
        <v>14</v>
      </c>
      <c r="L2" s="1">
        <v>10</v>
      </c>
    </row>
    <row r="3" spans="1:12" x14ac:dyDescent="0.3">
      <c r="A3" t="s">
        <v>15</v>
      </c>
      <c r="B3" s="1">
        <v>24</v>
      </c>
      <c r="C3" s="1" t="str">
        <f t="shared" ref="C3:C66" si="0">IF(B3&lt;=25, "Young Investors", IF(B3&lt;=35, "Middle Investors", IF(B3&lt;=45, "Old Investors", IF(B3&gt;46, "Very Old Investors"))))</f>
        <v>Young Investors</v>
      </c>
      <c r="D3">
        <v>0</v>
      </c>
      <c r="E3" s="1">
        <v>0</v>
      </c>
      <c r="F3" s="12" t="str">
        <f t="shared" ref="F3:F66" si="1">IF(E3&lt;=200000,"LOW INCOME", IF(E3&lt;=400000,"MIDDLE INCOME", "HIGH INCOME"))</f>
        <v>LOW INCOME</v>
      </c>
      <c r="G3" t="s">
        <v>11</v>
      </c>
      <c r="H3" s="1">
        <v>1000</v>
      </c>
      <c r="I3" t="s">
        <v>16</v>
      </c>
      <c r="J3" t="s">
        <v>17</v>
      </c>
      <c r="K3" t="s">
        <v>14</v>
      </c>
      <c r="L3" s="1">
        <v>3</v>
      </c>
    </row>
    <row r="4" spans="1:12" x14ac:dyDescent="0.3">
      <c r="A4" t="s">
        <v>10</v>
      </c>
      <c r="B4" s="1">
        <v>24</v>
      </c>
      <c r="C4" s="1" t="str">
        <f t="shared" si="0"/>
        <v>Young Investors</v>
      </c>
      <c r="D4">
        <v>1</v>
      </c>
      <c r="E4" s="1">
        <v>400000</v>
      </c>
      <c r="F4" s="12" t="str">
        <f t="shared" si="1"/>
        <v>MIDDLE INCOME</v>
      </c>
      <c r="G4" t="s">
        <v>18</v>
      </c>
      <c r="H4" s="1">
        <v>5000</v>
      </c>
      <c r="I4" t="s">
        <v>16</v>
      </c>
      <c r="J4" t="s">
        <v>19</v>
      </c>
      <c r="K4" t="s">
        <v>20</v>
      </c>
      <c r="L4" s="1">
        <v>10</v>
      </c>
    </row>
    <row r="5" spans="1:12" x14ac:dyDescent="0.3">
      <c r="A5" t="s">
        <v>10</v>
      </c>
      <c r="B5" s="1">
        <v>22</v>
      </c>
      <c r="C5" s="1" t="str">
        <f t="shared" si="0"/>
        <v>Young Investors</v>
      </c>
      <c r="D5">
        <v>1</v>
      </c>
      <c r="E5" s="1">
        <v>150000</v>
      </c>
      <c r="F5" s="12" t="str">
        <f t="shared" si="1"/>
        <v>LOW INCOME</v>
      </c>
      <c r="G5" t="s">
        <v>21</v>
      </c>
      <c r="H5" s="1">
        <v>2000</v>
      </c>
      <c r="I5" t="s">
        <v>22</v>
      </c>
      <c r="J5" t="s">
        <v>19</v>
      </c>
      <c r="K5" t="s">
        <v>14</v>
      </c>
      <c r="L5" s="1">
        <v>10</v>
      </c>
    </row>
    <row r="6" spans="1:12" x14ac:dyDescent="0.3">
      <c r="A6" t="s">
        <v>10</v>
      </c>
      <c r="B6" s="1">
        <v>25</v>
      </c>
      <c r="C6" s="1" t="str">
        <f t="shared" si="0"/>
        <v>Young Investors</v>
      </c>
      <c r="D6">
        <v>1</v>
      </c>
      <c r="E6" s="1">
        <v>250000</v>
      </c>
      <c r="F6" s="12" t="str">
        <f t="shared" si="1"/>
        <v>MIDDLE INCOME</v>
      </c>
      <c r="G6" t="s">
        <v>21</v>
      </c>
      <c r="H6" s="1">
        <v>2000</v>
      </c>
      <c r="I6" t="s">
        <v>89</v>
      </c>
      <c r="J6" t="s">
        <v>24</v>
      </c>
      <c r="K6" t="s">
        <v>14</v>
      </c>
      <c r="L6" s="1">
        <v>15</v>
      </c>
    </row>
    <row r="7" spans="1:12" x14ac:dyDescent="0.3">
      <c r="A7" t="s">
        <v>10</v>
      </c>
      <c r="B7" s="1">
        <v>27</v>
      </c>
      <c r="C7" s="1" t="str">
        <f t="shared" si="0"/>
        <v>Middle Investors</v>
      </c>
      <c r="D7">
        <v>1</v>
      </c>
      <c r="E7" s="1">
        <v>384000</v>
      </c>
      <c r="F7" s="12" t="str">
        <f t="shared" si="1"/>
        <v>MIDDLE INCOME</v>
      </c>
      <c r="G7" t="s">
        <v>25</v>
      </c>
      <c r="H7" s="1">
        <v>3000</v>
      </c>
      <c r="I7" t="s">
        <v>16</v>
      </c>
      <c r="J7" t="s">
        <v>16</v>
      </c>
      <c r="K7" t="s">
        <v>14</v>
      </c>
      <c r="L7" s="1">
        <v>5</v>
      </c>
    </row>
    <row r="8" spans="1:12" x14ac:dyDescent="0.3">
      <c r="A8" t="s">
        <v>10</v>
      </c>
      <c r="B8" s="1">
        <v>24</v>
      </c>
      <c r="C8" s="1" t="str">
        <f t="shared" si="0"/>
        <v>Young Investors</v>
      </c>
      <c r="D8">
        <v>1</v>
      </c>
      <c r="E8" s="1">
        <v>150000</v>
      </c>
      <c r="F8" s="12" t="str">
        <f t="shared" si="1"/>
        <v>LOW INCOME</v>
      </c>
      <c r="G8" t="s">
        <v>26</v>
      </c>
      <c r="H8" s="1">
        <v>2000</v>
      </c>
      <c r="I8" t="s">
        <v>27</v>
      </c>
      <c r="J8" t="s">
        <v>13</v>
      </c>
      <c r="K8" t="s">
        <v>20</v>
      </c>
      <c r="L8" s="1">
        <v>15</v>
      </c>
    </row>
    <row r="9" spans="1:12" x14ac:dyDescent="0.3">
      <c r="A9" t="s">
        <v>15</v>
      </c>
      <c r="B9" s="1">
        <v>22</v>
      </c>
      <c r="C9" s="1" t="str">
        <f t="shared" si="0"/>
        <v>Young Investors</v>
      </c>
      <c r="D9">
        <v>0</v>
      </c>
      <c r="E9" s="1">
        <v>0</v>
      </c>
      <c r="F9" s="12" t="str">
        <f t="shared" si="1"/>
        <v>LOW INCOME</v>
      </c>
      <c r="G9" t="s">
        <v>28</v>
      </c>
      <c r="H9" s="1">
        <v>500</v>
      </c>
      <c r="I9" t="s">
        <v>12</v>
      </c>
      <c r="J9" t="s">
        <v>13</v>
      </c>
      <c r="K9" t="s">
        <v>29</v>
      </c>
      <c r="L9" s="1">
        <v>10</v>
      </c>
    </row>
    <row r="10" spans="1:12" x14ac:dyDescent="0.3">
      <c r="A10" t="s">
        <v>15</v>
      </c>
      <c r="B10" s="1">
        <v>25</v>
      </c>
      <c r="C10" s="1" t="str">
        <f t="shared" si="0"/>
        <v>Young Investors</v>
      </c>
      <c r="D10">
        <v>0</v>
      </c>
      <c r="E10" s="1">
        <v>0</v>
      </c>
      <c r="F10" s="12" t="str">
        <f t="shared" si="1"/>
        <v>LOW INCOME</v>
      </c>
      <c r="G10" t="s">
        <v>11</v>
      </c>
      <c r="H10" s="1">
        <v>2000</v>
      </c>
      <c r="I10" t="s">
        <v>12</v>
      </c>
      <c r="J10" t="s">
        <v>13</v>
      </c>
      <c r="K10" t="s">
        <v>29</v>
      </c>
      <c r="L10" s="1">
        <v>5</v>
      </c>
    </row>
    <row r="11" spans="1:12" x14ac:dyDescent="0.3">
      <c r="A11" t="s">
        <v>10</v>
      </c>
      <c r="B11" s="1">
        <v>28</v>
      </c>
      <c r="C11" s="1" t="str">
        <f t="shared" si="0"/>
        <v>Middle Investors</v>
      </c>
      <c r="D11">
        <v>1</v>
      </c>
      <c r="E11" s="1">
        <v>500000</v>
      </c>
      <c r="F11" s="12" t="str">
        <f t="shared" si="1"/>
        <v>HIGH INCOME</v>
      </c>
      <c r="G11" t="s">
        <v>18</v>
      </c>
      <c r="H11" s="1">
        <v>5000</v>
      </c>
      <c r="I11" t="s">
        <v>30</v>
      </c>
      <c r="J11" t="s">
        <v>17</v>
      </c>
      <c r="K11" t="s">
        <v>14</v>
      </c>
      <c r="L11" s="1">
        <v>10</v>
      </c>
    </row>
    <row r="12" spans="1:12" x14ac:dyDescent="0.3">
      <c r="A12" t="s">
        <v>15</v>
      </c>
      <c r="B12" s="1">
        <v>35</v>
      </c>
      <c r="C12" s="1" t="str">
        <f t="shared" si="0"/>
        <v>Middle Investors</v>
      </c>
      <c r="D12">
        <v>0</v>
      </c>
      <c r="E12" s="1">
        <v>0</v>
      </c>
      <c r="F12" s="12" t="str">
        <f t="shared" si="1"/>
        <v>LOW INCOME</v>
      </c>
      <c r="G12" t="s">
        <v>11</v>
      </c>
      <c r="H12" s="1">
        <v>2000</v>
      </c>
      <c r="I12" t="s">
        <v>12</v>
      </c>
      <c r="J12" t="s">
        <v>13</v>
      </c>
      <c r="K12" t="s">
        <v>31</v>
      </c>
      <c r="L12" s="1">
        <v>10</v>
      </c>
    </row>
    <row r="13" spans="1:12" x14ac:dyDescent="0.3">
      <c r="A13" t="s">
        <v>15</v>
      </c>
      <c r="B13" s="1">
        <v>28</v>
      </c>
      <c r="C13" s="1" t="str">
        <f t="shared" si="0"/>
        <v>Middle Investors</v>
      </c>
      <c r="D13">
        <v>1</v>
      </c>
      <c r="E13" s="1">
        <v>300000</v>
      </c>
      <c r="F13" s="12" t="str">
        <f t="shared" si="1"/>
        <v>MIDDLE INCOME</v>
      </c>
      <c r="G13" t="s">
        <v>28</v>
      </c>
      <c r="H13" s="1">
        <v>5000</v>
      </c>
      <c r="I13" t="s">
        <v>89</v>
      </c>
      <c r="J13" t="s">
        <v>13</v>
      </c>
      <c r="K13" t="s">
        <v>33</v>
      </c>
      <c r="L13" s="1">
        <v>3</v>
      </c>
    </row>
    <row r="14" spans="1:12" x14ac:dyDescent="0.3">
      <c r="A14" t="s">
        <v>10</v>
      </c>
      <c r="B14" s="1">
        <v>56</v>
      </c>
      <c r="C14" s="1" t="str">
        <f t="shared" si="0"/>
        <v>Very Old Investors</v>
      </c>
      <c r="D14">
        <v>1</v>
      </c>
      <c r="E14" s="1">
        <v>200000</v>
      </c>
      <c r="F14" s="12" t="str">
        <f t="shared" si="1"/>
        <v>LOW INCOME</v>
      </c>
      <c r="G14" t="s">
        <v>21</v>
      </c>
      <c r="H14" s="1">
        <v>1000</v>
      </c>
      <c r="I14" t="s">
        <v>34</v>
      </c>
      <c r="J14" t="s">
        <v>19</v>
      </c>
      <c r="K14" t="s">
        <v>20</v>
      </c>
      <c r="L14" s="1">
        <v>4</v>
      </c>
    </row>
    <row r="15" spans="1:12" x14ac:dyDescent="0.3">
      <c r="A15" t="s">
        <v>10</v>
      </c>
      <c r="B15" s="1">
        <v>23</v>
      </c>
      <c r="C15" s="1" t="str">
        <f t="shared" si="0"/>
        <v>Young Investors</v>
      </c>
      <c r="D15">
        <v>0</v>
      </c>
      <c r="E15" s="1">
        <v>0</v>
      </c>
      <c r="F15" s="12" t="str">
        <f t="shared" si="1"/>
        <v>LOW INCOME</v>
      </c>
      <c r="G15" t="s">
        <v>18</v>
      </c>
      <c r="H15" s="1">
        <v>500</v>
      </c>
      <c r="I15" t="s">
        <v>30</v>
      </c>
      <c r="J15" t="s">
        <v>17</v>
      </c>
      <c r="K15" t="s">
        <v>35</v>
      </c>
      <c r="L15" s="1">
        <v>15</v>
      </c>
    </row>
    <row r="16" spans="1:12" x14ac:dyDescent="0.3">
      <c r="A16" t="s">
        <v>15</v>
      </c>
      <c r="B16" s="1">
        <v>19</v>
      </c>
      <c r="C16" s="1" t="str">
        <f t="shared" si="0"/>
        <v>Young Investors</v>
      </c>
      <c r="D16">
        <v>0</v>
      </c>
      <c r="E16" s="1">
        <v>0</v>
      </c>
      <c r="F16" s="12" t="str">
        <f t="shared" si="1"/>
        <v>LOW INCOME</v>
      </c>
      <c r="G16" t="s">
        <v>11</v>
      </c>
      <c r="H16" s="1">
        <v>1000</v>
      </c>
      <c r="I16" t="s">
        <v>34</v>
      </c>
      <c r="J16" t="s">
        <v>24</v>
      </c>
      <c r="K16" t="s">
        <v>29</v>
      </c>
      <c r="L16" s="1">
        <v>10</v>
      </c>
    </row>
    <row r="17" spans="1:12" x14ac:dyDescent="0.3">
      <c r="A17" t="s">
        <v>10</v>
      </c>
      <c r="B17" s="1">
        <v>31</v>
      </c>
      <c r="C17" s="1" t="str">
        <f t="shared" si="0"/>
        <v>Middle Investors</v>
      </c>
      <c r="D17">
        <v>1</v>
      </c>
      <c r="E17" s="1">
        <v>200000</v>
      </c>
      <c r="F17" s="12" t="str">
        <f t="shared" si="1"/>
        <v>LOW INCOME</v>
      </c>
      <c r="G17" t="s">
        <v>18</v>
      </c>
      <c r="H17" s="1">
        <v>1000</v>
      </c>
      <c r="I17" t="s">
        <v>16</v>
      </c>
      <c r="J17" t="s">
        <v>17</v>
      </c>
      <c r="K17" t="s">
        <v>29</v>
      </c>
      <c r="L17" s="1">
        <v>5</v>
      </c>
    </row>
    <row r="18" spans="1:12" x14ac:dyDescent="0.3">
      <c r="A18" t="s">
        <v>10</v>
      </c>
      <c r="B18" s="1">
        <v>26</v>
      </c>
      <c r="C18" s="1" t="str">
        <f t="shared" si="0"/>
        <v>Middle Investors</v>
      </c>
      <c r="D18">
        <v>0</v>
      </c>
      <c r="E18" s="1">
        <v>0</v>
      </c>
      <c r="F18" s="12" t="str">
        <f t="shared" si="1"/>
        <v>LOW INCOME</v>
      </c>
      <c r="G18" t="s">
        <v>11</v>
      </c>
      <c r="H18" s="1">
        <v>500</v>
      </c>
      <c r="I18" t="s">
        <v>89</v>
      </c>
      <c r="J18" t="s">
        <v>19</v>
      </c>
      <c r="K18" t="s">
        <v>14</v>
      </c>
      <c r="L18" s="1">
        <v>4</v>
      </c>
    </row>
    <row r="19" spans="1:12" x14ac:dyDescent="0.3">
      <c r="A19" t="s">
        <v>10</v>
      </c>
      <c r="B19" s="1">
        <v>28</v>
      </c>
      <c r="C19" s="1" t="str">
        <f t="shared" si="0"/>
        <v>Middle Investors</v>
      </c>
      <c r="D19">
        <v>1</v>
      </c>
      <c r="E19" s="1">
        <v>300000</v>
      </c>
      <c r="F19" s="12" t="str">
        <f t="shared" si="1"/>
        <v>MIDDLE INCOME</v>
      </c>
      <c r="G19" t="s">
        <v>21</v>
      </c>
      <c r="H19" s="1">
        <v>2500</v>
      </c>
      <c r="I19" t="s">
        <v>34</v>
      </c>
      <c r="J19" t="s">
        <v>13</v>
      </c>
      <c r="K19" t="s">
        <v>14</v>
      </c>
      <c r="L19" s="1">
        <v>8</v>
      </c>
    </row>
    <row r="20" spans="1:12" x14ac:dyDescent="0.3">
      <c r="A20" t="s">
        <v>15</v>
      </c>
      <c r="B20" s="1">
        <v>26</v>
      </c>
      <c r="C20" s="1" t="str">
        <f t="shared" si="0"/>
        <v>Middle Investors</v>
      </c>
      <c r="D20">
        <v>1</v>
      </c>
      <c r="E20" s="1">
        <v>150000</v>
      </c>
      <c r="F20" s="12" t="str">
        <f t="shared" si="1"/>
        <v>LOW INCOME</v>
      </c>
      <c r="G20" t="s">
        <v>11</v>
      </c>
      <c r="H20" s="1">
        <v>1500</v>
      </c>
      <c r="I20" t="s">
        <v>12</v>
      </c>
      <c r="J20" t="s">
        <v>13</v>
      </c>
      <c r="K20" t="s">
        <v>33</v>
      </c>
      <c r="L20" s="1">
        <v>3</v>
      </c>
    </row>
    <row r="21" spans="1:12" x14ac:dyDescent="0.3">
      <c r="A21" t="s">
        <v>10</v>
      </c>
      <c r="B21" s="1">
        <v>23</v>
      </c>
      <c r="C21" s="1" t="str">
        <f t="shared" si="0"/>
        <v>Young Investors</v>
      </c>
      <c r="D21">
        <v>0</v>
      </c>
      <c r="E21" s="1">
        <v>0</v>
      </c>
      <c r="F21" s="12" t="str">
        <f t="shared" si="1"/>
        <v>LOW INCOME</v>
      </c>
      <c r="G21" t="s">
        <v>11</v>
      </c>
      <c r="H21" s="1">
        <v>0</v>
      </c>
      <c r="I21" t="s">
        <v>34</v>
      </c>
      <c r="J21" t="s">
        <v>24</v>
      </c>
      <c r="K21" t="s">
        <v>31</v>
      </c>
      <c r="L21" s="1">
        <v>0</v>
      </c>
    </row>
    <row r="22" spans="1:12" x14ac:dyDescent="0.3">
      <c r="A22" t="s">
        <v>10</v>
      </c>
      <c r="B22" s="1">
        <v>20</v>
      </c>
      <c r="C22" s="1" t="str">
        <f t="shared" si="0"/>
        <v>Young Investors</v>
      </c>
      <c r="D22">
        <v>0</v>
      </c>
      <c r="E22" s="1">
        <v>0</v>
      </c>
      <c r="F22" s="12" t="str">
        <f t="shared" si="1"/>
        <v>LOW INCOME</v>
      </c>
      <c r="G22" t="s">
        <v>11</v>
      </c>
      <c r="H22" s="1">
        <v>5000</v>
      </c>
      <c r="I22" t="s">
        <v>34</v>
      </c>
      <c r="J22" t="s">
        <v>24</v>
      </c>
      <c r="K22" t="s">
        <v>29</v>
      </c>
      <c r="L22" s="1">
        <v>1</v>
      </c>
    </row>
    <row r="23" spans="1:12" x14ac:dyDescent="0.3">
      <c r="A23" t="s">
        <v>10</v>
      </c>
      <c r="B23" s="1">
        <v>18</v>
      </c>
      <c r="C23" s="1" t="str">
        <f t="shared" si="0"/>
        <v>Young Investors</v>
      </c>
      <c r="D23">
        <v>0</v>
      </c>
      <c r="E23" s="1">
        <v>360000</v>
      </c>
      <c r="F23" s="12" t="str">
        <f t="shared" si="1"/>
        <v>MIDDLE INCOME</v>
      </c>
      <c r="G23" t="s">
        <v>25</v>
      </c>
      <c r="H23" s="1">
        <v>30000</v>
      </c>
      <c r="I23" t="s">
        <v>30</v>
      </c>
      <c r="J23" t="s">
        <v>13</v>
      </c>
      <c r="K23" t="s">
        <v>31</v>
      </c>
      <c r="L23" s="1">
        <v>2</v>
      </c>
    </row>
    <row r="24" spans="1:12" x14ac:dyDescent="0.3">
      <c r="A24" t="s">
        <v>10</v>
      </c>
      <c r="B24" s="1">
        <v>23</v>
      </c>
      <c r="C24" s="1" t="str">
        <f t="shared" si="0"/>
        <v>Young Investors</v>
      </c>
      <c r="D24">
        <v>1</v>
      </c>
      <c r="E24" s="1">
        <v>0</v>
      </c>
      <c r="F24" s="12" t="str">
        <f t="shared" si="1"/>
        <v>LOW INCOME</v>
      </c>
      <c r="G24" t="s">
        <v>18</v>
      </c>
      <c r="H24" s="1">
        <v>10</v>
      </c>
      <c r="I24" t="s">
        <v>16</v>
      </c>
      <c r="J24" t="s">
        <v>24</v>
      </c>
      <c r="K24" t="s">
        <v>31</v>
      </c>
      <c r="L24" s="1">
        <v>10</v>
      </c>
    </row>
    <row r="25" spans="1:12" x14ac:dyDescent="0.3">
      <c r="A25" t="s">
        <v>10</v>
      </c>
      <c r="B25" s="1">
        <v>22</v>
      </c>
      <c r="C25" s="1" t="str">
        <f t="shared" si="0"/>
        <v>Young Investors</v>
      </c>
      <c r="D25">
        <v>0</v>
      </c>
      <c r="E25" s="1">
        <v>0</v>
      </c>
      <c r="F25" s="12" t="str">
        <f t="shared" si="1"/>
        <v>LOW INCOME</v>
      </c>
      <c r="G25" t="s">
        <v>18</v>
      </c>
      <c r="H25" s="1">
        <v>100</v>
      </c>
      <c r="I25" t="s">
        <v>30</v>
      </c>
      <c r="J25" t="s">
        <v>17</v>
      </c>
      <c r="K25" t="s">
        <v>35</v>
      </c>
      <c r="L25" s="1">
        <v>10</v>
      </c>
    </row>
    <row r="26" spans="1:12" x14ac:dyDescent="0.3">
      <c r="A26" t="s">
        <v>10</v>
      </c>
      <c r="B26" s="1">
        <v>18</v>
      </c>
      <c r="C26" s="1" t="str">
        <f t="shared" si="0"/>
        <v>Young Investors</v>
      </c>
      <c r="D26">
        <v>0</v>
      </c>
      <c r="E26" s="1">
        <v>0</v>
      </c>
      <c r="F26" s="12" t="str">
        <f t="shared" si="1"/>
        <v>LOW INCOME</v>
      </c>
      <c r="G26" t="s">
        <v>11</v>
      </c>
      <c r="H26" s="1">
        <v>5000</v>
      </c>
      <c r="I26" t="s">
        <v>34</v>
      </c>
      <c r="J26" t="s">
        <v>13</v>
      </c>
      <c r="K26" t="s">
        <v>20</v>
      </c>
      <c r="L26" s="1">
        <v>25</v>
      </c>
    </row>
    <row r="27" spans="1:12" x14ac:dyDescent="0.3">
      <c r="A27" t="s">
        <v>10</v>
      </c>
      <c r="B27" s="1">
        <v>20</v>
      </c>
      <c r="C27" s="1" t="str">
        <f t="shared" si="0"/>
        <v>Young Investors</v>
      </c>
      <c r="D27">
        <v>0</v>
      </c>
      <c r="E27" s="1">
        <v>0</v>
      </c>
      <c r="F27" s="12" t="str">
        <f t="shared" si="1"/>
        <v>LOW INCOME</v>
      </c>
      <c r="G27" t="s">
        <v>18</v>
      </c>
      <c r="H27" s="1">
        <v>0</v>
      </c>
      <c r="I27" t="s">
        <v>12</v>
      </c>
      <c r="J27" t="s">
        <v>13</v>
      </c>
      <c r="K27" t="s">
        <v>29</v>
      </c>
      <c r="L27" s="1">
        <v>2</v>
      </c>
    </row>
    <row r="28" spans="1:12" x14ac:dyDescent="0.3">
      <c r="A28" t="s">
        <v>10</v>
      </c>
      <c r="B28" s="1">
        <v>28</v>
      </c>
      <c r="C28" s="1" t="str">
        <f t="shared" si="0"/>
        <v>Middle Investors</v>
      </c>
      <c r="D28">
        <v>1</v>
      </c>
      <c r="E28" s="1">
        <v>250000</v>
      </c>
      <c r="F28" s="12" t="str">
        <f t="shared" si="1"/>
        <v>MIDDLE INCOME</v>
      </c>
      <c r="G28" t="s">
        <v>18</v>
      </c>
      <c r="H28" s="1">
        <v>1500</v>
      </c>
      <c r="I28" t="s">
        <v>30</v>
      </c>
      <c r="J28" t="s">
        <v>17</v>
      </c>
      <c r="K28" t="s">
        <v>14</v>
      </c>
      <c r="L28" s="1">
        <v>4</v>
      </c>
    </row>
    <row r="29" spans="1:12" x14ac:dyDescent="0.3">
      <c r="A29" t="s">
        <v>10</v>
      </c>
      <c r="B29" s="1">
        <v>23</v>
      </c>
      <c r="C29" s="1" t="str">
        <f t="shared" si="0"/>
        <v>Young Investors</v>
      </c>
      <c r="D29">
        <v>0</v>
      </c>
      <c r="E29" s="1">
        <v>0</v>
      </c>
      <c r="F29" s="12" t="str">
        <f t="shared" si="1"/>
        <v>LOW INCOME</v>
      </c>
      <c r="G29" t="s">
        <v>18</v>
      </c>
      <c r="H29" s="1">
        <v>10000</v>
      </c>
      <c r="I29" t="s">
        <v>30</v>
      </c>
      <c r="J29" t="s">
        <v>19</v>
      </c>
      <c r="K29" t="s">
        <v>14</v>
      </c>
      <c r="L29" s="1">
        <v>5</v>
      </c>
    </row>
    <row r="30" spans="1:12" x14ac:dyDescent="0.3">
      <c r="A30" t="s">
        <v>15</v>
      </c>
      <c r="B30" s="1">
        <v>28</v>
      </c>
      <c r="C30" s="1" t="str">
        <f t="shared" si="0"/>
        <v>Middle Investors</v>
      </c>
      <c r="D30">
        <v>1</v>
      </c>
      <c r="E30" s="1">
        <v>120000</v>
      </c>
      <c r="F30" s="12" t="str">
        <f t="shared" si="1"/>
        <v>LOW INCOME</v>
      </c>
      <c r="G30" t="s">
        <v>21</v>
      </c>
      <c r="H30" s="1">
        <v>1000</v>
      </c>
      <c r="I30" t="s">
        <v>22</v>
      </c>
      <c r="J30" t="s">
        <v>13</v>
      </c>
      <c r="K30" t="s">
        <v>31</v>
      </c>
      <c r="L30" s="1">
        <v>5</v>
      </c>
    </row>
    <row r="31" spans="1:12" x14ac:dyDescent="0.3">
      <c r="A31" t="s">
        <v>10</v>
      </c>
      <c r="B31" s="1">
        <v>48</v>
      </c>
      <c r="C31" s="1" t="str">
        <f t="shared" si="0"/>
        <v>Very Old Investors</v>
      </c>
      <c r="D31">
        <v>0</v>
      </c>
      <c r="E31" s="1">
        <v>0</v>
      </c>
      <c r="F31" s="12" t="str">
        <f t="shared" si="1"/>
        <v>LOW INCOME</v>
      </c>
      <c r="G31" t="s">
        <v>11</v>
      </c>
      <c r="H31" s="1">
        <v>1000</v>
      </c>
      <c r="I31" t="s">
        <v>30</v>
      </c>
      <c r="J31" t="s">
        <v>13</v>
      </c>
      <c r="K31" t="s">
        <v>29</v>
      </c>
      <c r="L31" s="1">
        <v>5</v>
      </c>
    </row>
    <row r="32" spans="1:12" x14ac:dyDescent="0.3">
      <c r="A32" t="s">
        <v>10</v>
      </c>
      <c r="B32" s="1">
        <v>23</v>
      </c>
      <c r="C32" s="1" t="str">
        <f t="shared" si="0"/>
        <v>Young Investors</v>
      </c>
      <c r="D32">
        <v>0</v>
      </c>
      <c r="E32" s="1">
        <v>0</v>
      </c>
      <c r="F32" s="12" t="str">
        <f t="shared" si="1"/>
        <v>LOW INCOME</v>
      </c>
      <c r="G32" t="s">
        <v>18</v>
      </c>
      <c r="H32" s="1">
        <v>20000</v>
      </c>
      <c r="I32" t="s">
        <v>30</v>
      </c>
      <c r="J32" t="s">
        <v>13</v>
      </c>
      <c r="K32" t="s">
        <v>29</v>
      </c>
      <c r="L32" s="1">
        <v>2</v>
      </c>
    </row>
    <row r="33" spans="1:12" x14ac:dyDescent="0.3">
      <c r="A33" t="s">
        <v>15</v>
      </c>
      <c r="B33" s="1">
        <v>23</v>
      </c>
      <c r="C33" s="1" t="str">
        <f t="shared" si="0"/>
        <v>Young Investors</v>
      </c>
      <c r="D33">
        <v>0</v>
      </c>
      <c r="E33" s="1">
        <v>0</v>
      </c>
      <c r="F33" s="12" t="str">
        <f t="shared" si="1"/>
        <v>LOW INCOME</v>
      </c>
      <c r="G33" t="s">
        <v>36</v>
      </c>
      <c r="H33" s="1">
        <v>5000</v>
      </c>
      <c r="I33" t="s">
        <v>30</v>
      </c>
      <c r="J33" t="s">
        <v>13</v>
      </c>
      <c r="K33" t="s">
        <v>20</v>
      </c>
      <c r="L33" s="1">
        <v>2</v>
      </c>
    </row>
    <row r="34" spans="1:12" x14ac:dyDescent="0.3">
      <c r="A34" t="s">
        <v>15</v>
      </c>
      <c r="B34" s="1">
        <v>23</v>
      </c>
      <c r="C34" s="1" t="str">
        <f t="shared" si="0"/>
        <v>Young Investors</v>
      </c>
      <c r="D34">
        <v>1</v>
      </c>
      <c r="E34" s="1">
        <v>150000</v>
      </c>
      <c r="F34" s="12" t="str">
        <f t="shared" si="1"/>
        <v>LOW INCOME</v>
      </c>
      <c r="G34" t="s">
        <v>28</v>
      </c>
      <c r="H34" s="1">
        <v>2000</v>
      </c>
      <c r="I34" t="s">
        <v>12</v>
      </c>
      <c r="J34" t="s">
        <v>13</v>
      </c>
      <c r="K34" t="s">
        <v>33</v>
      </c>
      <c r="L34" s="1">
        <v>4</v>
      </c>
    </row>
    <row r="35" spans="1:12" x14ac:dyDescent="0.3">
      <c r="A35" t="s">
        <v>15</v>
      </c>
      <c r="B35" s="1">
        <v>26</v>
      </c>
      <c r="C35" s="1" t="str">
        <f t="shared" si="0"/>
        <v>Middle Investors</v>
      </c>
      <c r="D35">
        <v>1</v>
      </c>
      <c r="E35" s="1">
        <v>300000</v>
      </c>
      <c r="F35" s="12" t="str">
        <f t="shared" si="1"/>
        <v>MIDDLE INCOME</v>
      </c>
      <c r="G35" t="s">
        <v>21</v>
      </c>
      <c r="H35" s="1">
        <v>2000</v>
      </c>
      <c r="I35" t="s">
        <v>22</v>
      </c>
      <c r="J35" t="s">
        <v>17</v>
      </c>
      <c r="K35" t="s">
        <v>14</v>
      </c>
      <c r="L35" s="1">
        <v>10</v>
      </c>
    </row>
    <row r="36" spans="1:12" x14ac:dyDescent="0.3">
      <c r="A36" t="s">
        <v>15</v>
      </c>
      <c r="B36" s="1">
        <v>24</v>
      </c>
      <c r="C36" s="1" t="str">
        <f t="shared" si="0"/>
        <v>Young Investors</v>
      </c>
      <c r="D36">
        <v>1</v>
      </c>
      <c r="E36" s="1">
        <v>200000</v>
      </c>
      <c r="F36" s="12" t="str">
        <f t="shared" si="1"/>
        <v>LOW INCOME</v>
      </c>
      <c r="G36" t="s">
        <v>37</v>
      </c>
      <c r="H36" s="1">
        <v>3000</v>
      </c>
      <c r="I36" t="s">
        <v>12</v>
      </c>
      <c r="J36" t="s">
        <v>13</v>
      </c>
      <c r="K36" t="s">
        <v>35</v>
      </c>
      <c r="L36" s="1">
        <v>10</v>
      </c>
    </row>
    <row r="37" spans="1:12" x14ac:dyDescent="0.3">
      <c r="A37" t="s">
        <v>10</v>
      </c>
      <c r="B37" s="1">
        <v>20</v>
      </c>
      <c r="C37" s="1" t="str">
        <f t="shared" si="0"/>
        <v>Young Investors</v>
      </c>
      <c r="D37">
        <v>0</v>
      </c>
      <c r="E37" s="1">
        <v>0</v>
      </c>
      <c r="F37" s="12" t="str">
        <f t="shared" si="1"/>
        <v>LOW INCOME</v>
      </c>
      <c r="G37" t="s">
        <v>11</v>
      </c>
      <c r="H37" s="1">
        <v>2000</v>
      </c>
      <c r="I37" t="s">
        <v>12</v>
      </c>
      <c r="J37" t="s">
        <v>13</v>
      </c>
      <c r="K37" t="s">
        <v>29</v>
      </c>
      <c r="L37" s="1">
        <v>6</v>
      </c>
    </row>
    <row r="38" spans="1:12" x14ac:dyDescent="0.3">
      <c r="A38" t="s">
        <v>10</v>
      </c>
      <c r="B38" s="1">
        <v>19</v>
      </c>
      <c r="C38" s="1" t="str">
        <f t="shared" si="0"/>
        <v>Young Investors</v>
      </c>
      <c r="D38">
        <v>0</v>
      </c>
      <c r="E38" s="1">
        <v>0</v>
      </c>
      <c r="F38" s="12" t="str">
        <f t="shared" si="1"/>
        <v>LOW INCOME</v>
      </c>
      <c r="G38" t="s">
        <v>18</v>
      </c>
      <c r="H38" s="1">
        <v>5000</v>
      </c>
      <c r="I38" t="s">
        <v>16</v>
      </c>
      <c r="J38" t="s">
        <v>17</v>
      </c>
      <c r="K38" t="s">
        <v>29</v>
      </c>
      <c r="L38" s="1">
        <v>5</v>
      </c>
    </row>
    <row r="39" spans="1:12" x14ac:dyDescent="0.3">
      <c r="A39" t="s">
        <v>10</v>
      </c>
      <c r="B39" s="1">
        <v>20</v>
      </c>
      <c r="C39" s="1" t="str">
        <f t="shared" si="0"/>
        <v>Young Investors</v>
      </c>
      <c r="D39">
        <v>0</v>
      </c>
      <c r="E39" s="1">
        <v>80</v>
      </c>
      <c r="F39" s="12" t="str">
        <f t="shared" si="1"/>
        <v>LOW INCOME</v>
      </c>
      <c r="G39" t="s">
        <v>18</v>
      </c>
      <c r="H39" s="1">
        <v>1000</v>
      </c>
      <c r="I39" t="s">
        <v>30</v>
      </c>
      <c r="J39" t="s">
        <v>13</v>
      </c>
      <c r="K39" t="s">
        <v>29</v>
      </c>
      <c r="L39" s="1">
        <v>5</v>
      </c>
    </row>
    <row r="40" spans="1:12" x14ac:dyDescent="0.3">
      <c r="A40" t="s">
        <v>10</v>
      </c>
      <c r="B40" s="1">
        <v>22</v>
      </c>
      <c r="C40" s="1" t="str">
        <f t="shared" si="0"/>
        <v>Young Investors</v>
      </c>
      <c r="D40">
        <v>0</v>
      </c>
      <c r="E40" s="1">
        <v>0</v>
      </c>
      <c r="F40" s="12" t="str">
        <f t="shared" si="1"/>
        <v>LOW INCOME</v>
      </c>
      <c r="G40" t="s">
        <v>28</v>
      </c>
      <c r="H40" s="1">
        <v>2000</v>
      </c>
      <c r="I40" t="s">
        <v>30</v>
      </c>
      <c r="J40" t="s">
        <v>13</v>
      </c>
      <c r="K40" t="s">
        <v>94</v>
      </c>
      <c r="L40" s="1">
        <v>3</v>
      </c>
    </row>
    <row r="41" spans="1:12" x14ac:dyDescent="0.3">
      <c r="A41" t="s">
        <v>10</v>
      </c>
      <c r="B41" s="1">
        <v>21</v>
      </c>
      <c r="C41" s="1" t="str">
        <f t="shared" si="0"/>
        <v>Young Investors</v>
      </c>
      <c r="D41">
        <v>1</v>
      </c>
      <c r="E41" s="1">
        <v>120000</v>
      </c>
      <c r="F41" s="12" t="str">
        <f t="shared" si="1"/>
        <v>LOW INCOME</v>
      </c>
      <c r="G41" t="s">
        <v>21</v>
      </c>
      <c r="H41" s="1">
        <v>3000</v>
      </c>
      <c r="I41" t="s">
        <v>22</v>
      </c>
      <c r="J41" t="s">
        <v>13</v>
      </c>
      <c r="K41" t="s">
        <v>35</v>
      </c>
      <c r="L41" s="1">
        <v>10</v>
      </c>
    </row>
    <row r="42" spans="1:12" x14ac:dyDescent="0.3">
      <c r="A42" t="s">
        <v>15</v>
      </c>
      <c r="B42" s="1">
        <v>30</v>
      </c>
      <c r="C42" s="1" t="str">
        <f t="shared" si="0"/>
        <v>Middle Investors</v>
      </c>
      <c r="D42">
        <v>1</v>
      </c>
      <c r="E42" s="1">
        <v>180000</v>
      </c>
      <c r="F42" s="12" t="str">
        <f t="shared" si="1"/>
        <v>LOW INCOME</v>
      </c>
      <c r="G42" t="s">
        <v>21</v>
      </c>
      <c r="H42" s="1">
        <v>3000</v>
      </c>
      <c r="I42" t="s">
        <v>12</v>
      </c>
      <c r="J42" t="s">
        <v>13</v>
      </c>
      <c r="K42" t="s">
        <v>29</v>
      </c>
      <c r="L42" s="1">
        <v>10</v>
      </c>
    </row>
    <row r="43" spans="1:12" x14ac:dyDescent="0.3">
      <c r="A43" t="s">
        <v>15</v>
      </c>
      <c r="B43" s="1">
        <v>45</v>
      </c>
      <c r="C43" s="1" t="str">
        <f t="shared" si="0"/>
        <v>Old Investors</v>
      </c>
      <c r="D43">
        <v>1</v>
      </c>
      <c r="E43" s="1">
        <v>200000</v>
      </c>
      <c r="F43" s="12" t="str">
        <f t="shared" si="1"/>
        <v>LOW INCOME</v>
      </c>
      <c r="G43" t="s">
        <v>21</v>
      </c>
      <c r="H43" s="1">
        <v>2000</v>
      </c>
      <c r="I43" t="s">
        <v>89</v>
      </c>
      <c r="J43" t="s">
        <v>24</v>
      </c>
      <c r="K43" t="s">
        <v>14</v>
      </c>
      <c r="L43" s="1">
        <v>20</v>
      </c>
    </row>
    <row r="44" spans="1:12" x14ac:dyDescent="0.3">
      <c r="A44" t="s">
        <v>10</v>
      </c>
      <c r="B44" s="1">
        <v>21</v>
      </c>
      <c r="C44" s="1" t="str">
        <f t="shared" si="0"/>
        <v>Young Investors</v>
      </c>
      <c r="D44">
        <v>0</v>
      </c>
      <c r="E44" s="1">
        <v>0</v>
      </c>
      <c r="F44" s="12" t="str">
        <f t="shared" si="1"/>
        <v>LOW INCOME</v>
      </c>
      <c r="G44" t="s">
        <v>21</v>
      </c>
      <c r="H44" s="1">
        <v>10000</v>
      </c>
      <c r="I44" t="s">
        <v>12</v>
      </c>
      <c r="J44" t="s">
        <v>17</v>
      </c>
      <c r="K44" t="s">
        <v>29</v>
      </c>
      <c r="L44" s="1">
        <v>10</v>
      </c>
    </row>
    <row r="45" spans="1:12" x14ac:dyDescent="0.3">
      <c r="A45" t="s">
        <v>10</v>
      </c>
      <c r="B45" s="1">
        <v>21</v>
      </c>
      <c r="C45" s="1" t="str">
        <f t="shared" si="0"/>
        <v>Young Investors</v>
      </c>
      <c r="D45">
        <v>0</v>
      </c>
      <c r="E45" s="1">
        <v>0</v>
      </c>
      <c r="F45" s="12" t="str">
        <f t="shared" si="1"/>
        <v>LOW INCOME</v>
      </c>
      <c r="G45" t="s">
        <v>18</v>
      </c>
      <c r="H45" s="1">
        <v>1000</v>
      </c>
      <c r="I45" t="s">
        <v>30</v>
      </c>
      <c r="J45" t="s">
        <v>13</v>
      </c>
      <c r="K45" t="s">
        <v>20</v>
      </c>
      <c r="L45" s="1">
        <v>1</v>
      </c>
    </row>
    <row r="46" spans="1:12" x14ac:dyDescent="0.3">
      <c r="A46" t="s">
        <v>15</v>
      </c>
      <c r="B46" s="1">
        <v>22</v>
      </c>
      <c r="C46" s="1" t="str">
        <f t="shared" si="0"/>
        <v>Young Investors</v>
      </c>
      <c r="D46">
        <v>0</v>
      </c>
      <c r="E46" s="1">
        <v>0</v>
      </c>
      <c r="F46" s="12" t="str">
        <f t="shared" si="1"/>
        <v>LOW INCOME</v>
      </c>
      <c r="G46" t="s">
        <v>11</v>
      </c>
      <c r="H46" s="1">
        <v>2000</v>
      </c>
      <c r="I46" t="s">
        <v>12</v>
      </c>
      <c r="J46" t="s">
        <v>13</v>
      </c>
      <c r="K46" t="s">
        <v>29</v>
      </c>
      <c r="L46" s="1">
        <v>10</v>
      </c>
    </row>
    <row r="47" spans="1:12" x14ac:dyDescent="0.3">
      <c r="A47" t="s">
        <v>10</v>
      </c>
      <c r="B47" s="1">
        <v>24</v>
      </c>
      <c r="C47" s="1" t="str">
        <f t="shared" si="0"/>
        <v>Young Investors</v>
      </c>
      <c r="D47">
        <v>1</v>
      </c>
      <c r="E47" s="1">
        <v>200000</v>
      </c>
      <c r="F47" s="12" t="str">
        <f t="shared" si="1"/>
        <v>LOW INCOME</v>
      </c>
      <c r="G47" t="s">
        <v>18</v>
      </c>
      <c r="H47" s="1">
        <v>1000</v>
      </c>
      <c r="I47" t="s">
        <v>30</v>
      </c>
      <c r="J47" t="s">
        <v>17</v>
      </c>
      <c r="K47" t="s">
        <v>29</v>
      </c>
      <c r="L47" s="1">
        <v>10</v>
      </c>
    </row>
    <row r="48" spans="1:12" x14ac:dyDescent="0.3">
      <c r="A48" t="s">
        <v>15</v>
      </c>
      <c r="B48" s="1">
        <v>22</v>
      </c>
      <c r="C48" s="1" t="str">
        <f t="shared" si="0"/>
        <v>Young Investors</v>
      </c>
      <c r="D48">
        <v>0</v>
      </c>
      <c r="E48" s="1">
        <v>0</v>
      </c>
      <c r="F48" s="12" t="str">
        <f t="shared" si="1"/>
        <v>LOW INCOME</v>
      </c>
      <c r="G48" t="s">
        <v>11</v>
      </c>
      <c r="H48" s="1">
        <v>500</v>
      </c>
      <c r="I48" t="s">
        <v>12</v>
      </c>
      <c r="J48" t="s">
        <v>13</v>
      </c>
      <c r="K48" t="s">
        <v>29</v>
      </c>
      <c r="L48" s="1">
        <v>6</v>
      </c>
    </row>
    <row r="49" spans="1:12" x14ac:dyDescent="0.3">
      <c r="A49" t="s">
        <v>10</v>
      </c>
      <c r="B49" s="1">
        <v>24</v>
      </c>
      <c r="C49" s="1" t="str">
        <f t="shared" si="0"/>
        <v>Young Investors</v>
      </c>
      <c r="D49">
        <v>0</v>
      </c>
      <c r="E49" s="1">
        <v>0</v>
      </c>
      <c r="F49" s="12" t="str">
        <f t="shared" si="1"/>
        <v>LOW INCOME</v>
      </c>
      <c r="G49" t="s">
        <v>18</v>
      </c>
      <c r="H49" s="1">
        <v>1000</v>
      </c>
      <c r="I49" t="s">
        <v>16</v>
      </c>
      <c r="J49" t="s">
        <v>24</v>
      </c>
      <c r="K49" t="s">
        <v>14</v>
      </c>
      <c r="L49" s="1">
        <v>7</v>
      </c>
    </row>
    <row r="50" spans="1:12" x14ac:dyDescent="0.3">
      <c r="A50" t="s">
        <v>15</v>
      </c>
      <c r="B50" s="1">
        <v>29</v>
      </c>
      <c r="C50" s="1" t="str">
        <f t="shared" si="0"/>
        <v>Middle Investors</v>
      </c>
      <c r="D50">
        <v>1</v>
      </c>
      <c r="E50" s="1">
        <v>280000</v>
      </c>
      <c r="F50" s="12" t="str">
        <f t="shared" si="1"/>
        <v>MIDDLE INCOME</v>
      </c>
      <c r="G50" t="s">
        <v>28</v>
      </c>
      <c r="H50" s="1">
        <v>4000</v>
      </c>
      <c r="I50" t="s">
        <v>12</v>
      </c>
      <c r="J50" t="s">
        <v>13</v>
      </c>
      <c r="K50" t="s">
        <v>29</v>
      </c>
      <c r="L50" s="1">
        <v>4</v>
      </c>
    </row>
    <row r="51" spans="1:12" x14ac:dyDescent="0.3">
      <c r="A51" t="s">
        <v>10</v>
      </c>
      <c r="B51" s="1">
        <v>26</v>
      </c>
      <c r="C51" s="1" t="str">
        <f t="shared" si="0"/>
        <v>Middle Investors</v>
      </c>
      <c r="D51">
        <v>1</v>
      </c>
      <c r="E51" s="1">
        <v>350000</v>
      </c>
      <c r="F51" s="12" t="str">
        <f t="shared" si="1"/>
        <v>MIDDLE INCOME</v>
      </c>
      <c r="G51" t="s">
        <v>21</v>
      </c>
      <c r="H51" s="1">
        <v>3000</v>
      </c>
      <c r="I51" t="s">
        <v>89</v>
      </c>
      <c r="J51" t="s">
        <v>19</v>
      </c>
      <c r="K51" t="s">
        <v>40</v>
      </c>
      <c r="L51" s="1">
        <v>10</v>
      </c>
    </row>
    <row r="52" spans="1:12" x14ac:dyDescent="0.3">
      <c r="A52" t="s">
        <v>10</v>
      </c>
      <c r="B52" s="1">
        <v>22</v>
      </c>
      <c r="C52" s="1" t="str">
        <f t="shared" si="0"/>
        <v>Young Investors</v>
      </c>
      <c r="D52">
        <v>0</v>
      </c>
      <c r="E52" s="1">
        <v>0</v>
      </c>
      <c r="F52" s="12" t="str">
        <f t="shared" si="1"/>
        <v>LOW INCOME</v>
      </c>
      <c r="G52" t="s">
        <v>18</v>
      </c>
      <c r="H52" s="1">
        <v>2000</v>
      </c>
      <c r="I52" t="s">
        <v>30</v>
      </c>
      <c r="J52" t="s">
        <v>17</v>
      </c>
      <c r="K52" t="s">
        <v>29</v>
      </c>
      <c r="L52" s="1">
        <v>6</v>
      </c>
    </row>
    <row r="53" spans="1:12" x14ac:dyDescent="0.3">
      <c r="A53" t="s">
        <v>15</v>
      </c>
      <c r="B53" s="1">
        <v>27</v>
      </c>
      <c r="C53" s="1" t="str">
        <f t="shared" si="0"/>
        <v>Middle Investors</v>
      </c>
      <c r="D53">
        <v>1</v>
      </c>
      <c r="E53" s="1">
        <v>400000</v>
      </c>
      <c r="F53" s="12" t="str">
        <f t="shared" si="1"/>
        <v>MIDDLE INCOME</v>
      </c>
      <c r="G53" t="s">
        <v>21</v>
      </c>
      <c r="H53" s="1">
        <v>5000</v>
      </c>
      <c r="I53" t="s">
        <v>16</v>
      </c>
      <c r="J53" t="s">
        <v>17</v>
      </c>
      <c r="K53" t="s">
        <v>40</v>
      </c>
      <c r="L53" s="1">
        <v>8</v>
      </c>
    </row>
    <row r="54" spans="1:12" x14ac:dyDescent="0.3">
      <c r="A54" t="s">
        <v>10</v>
      </c>
      <c r="B54" s="1">
        <v>24</v>
      </c>
      <c r="C54" s="1" t="str">
        <f t="shared" si="0"/>
        <v>Young Investors</v>
      </c>
      <c r="D54">
        <v>1</v>
      </c>
      <c r="E54" s="1">
        <v>250000</v>
      </c>
      <c r="F54" s="12" t="str">
        <f t="shared" si="1"/>
        <v>MIDDLE INCOME</v>
      </c>
      <c r="G54" t="s">
        <v>18</v>
      </c>
      <c r="H54" s="1">
        <v>2000</v>
      </c>
      <c r="I54" t="s">
        <v>30</v>
      </c>
      <c r="J54" t="s">
        <v>13</v>
      </c>
      <c r="K54" t="s">
        <v>33</v>
      </c>
      <c r="L54" s="1">
        <v>6</v>
      </c>
    </row>
    <row r="55" spans="1:12" x14ac:dyDescent="0.3">
      <c r="A55" t="s">
        <v>10</v>
      </c>
      <c r="B55" s="1">
        <v>25</v>
      </c>
      <c r="C55" s="1" t="str">
        <f t="shared" si="0"/>
        <v>Young Investors</v>
      </c>
      <c r="D55">
        <v>1</v>
      </c>
      <c r="E55" s="1">
        <v>400000</v>
      </c>
      <c r="F55" s="12" t="str">
        <f t="shared" si="1"/>
        <v>MIDDLE INCOME</v>
      </c>
      <c r="G55" t="s">
        <v>21</v>
      </c>
      <c r="H55" s="1">
        <v>2500</v>
      </c>
      <c r="I55" t="s">
        <v>34</v>
      </c>
      <c r="J55" t="s">
        <v>13</v>
      </c>
      <c r="K55" t="s">
        <v>35</v>
      </c>
      <c r="L55" s="1">
        <v>10</v>
      </c>
    </row>
    <row r="56" spans="1:12" x14ac:dyDescent="0.3">
      <c r="A56" t="s">
        <v>15</v>
      </c>
      <c r="B56" s="1">
        <v>22</v>
      </c>
      <c r="C56" s="1" t="str">
        <f t="shared" si="0"/>
        <v>Young Investors</v>
      </c>
      <c r="D56">
        <v>0</v>
      </c>
      <c r="E56" s="1">
        <v>0</v>
      </c>
      <c r="F56" s="12" t="str">
        <f t="shared" si="1"/>
        <v>LOW INCOME</v>
      </c>
      <c r="G56" t="s">
        <v>18</v>
      </c>
      <c r="H56" s="1">
        <v>500</v>
      </c>
      <c r="I56" t="s">
        <v>30</v>
      </c>
      <c r="J56" t="s">
        <v>24</v>
      </c>
      <c r="K56" t="s">
        <v>33</v>
      </c>
      <c r="L56" s="1">
        <v>5</v>
      </c>
    </row>
    <row r="57" spans="1:12" x14ac:dyDescent="0.3">
      <c r="A57" t="s">
        <v>10</v>
      </c>
      <c r="B57" s="1">
        <v>26</v>
      </c>
      <c r="C57" s="1" t="str">
        <f t="shared" si="0"/>
        <v>Middle Investors</v>
      </c>
      <c r="D57">
        <v>1</v>
      </c>
      <c r="E57" s="1">
        <v>400000</v>
      </c>
      <c r="F57" s="12" t="str">
        <f t="shared" si="1"/>
        <v>MIDDLE INCOME</v>
      </c>
      <c r="G57" t="s">
        <v>37</v>
      </c>
      <c r="H57" s="1">
        <v>4500</v>
      </c>
      <c r="I57" t="s">
        <v>89</v>
      </c>
      <c r="J57" t="s">
        <v>13</v>
      </c>
      <c r="K57" t="s">
        <v>14</v>
      </c>
      <c r="L57" s="1">
        <v>10</v>
      </c>
    </row>
    <row r="58" spans="1:12" x14ac:dyDescent="0.3">
      <c r="A58" t="s">
        <v>10</v>
      </c>
      <c r="B58" s="1">
        <v>21</v>
      </c>
      <c r="C58" s="1" t="str">
        <f t="shared" si="0"/>
        <v>Young Investors</v>
      </c>
      <c r="D58">
        <v>0</v>
      </c>
      <c r="E58" s="1">
        <v>0</v>
      </c>
      <c r="F58" s="12" t="str">
        <f t="shared" si="1"/>
        <v>LOW INCOME</v>
      </c>
      <c r="G58" t="s">
        <v>25</v>
      </c>
      <c r="H58" s="1">
        <v>0</v>
      </c>
      <c r="I58" t="s">
        <v>16</v>
      </c>
      <c r="J58" t="s">
        <v>17</v>
      </c>
      <c r="K58" t="s">
        <v>35</v>
      </c>
      <c r="L58" s="1">
        <v>15</v>
      </c>
    </row>
    <row r="59" spans="1:12" x14ac:dyDescent="0.3">
      <c r="A59" t="s">
        <v>10</v>
      </c>
      <c r="B59" s="1">
        <v>28</v>
      </c>
      <c r="C59" s="1" t="str">
        <f t="shared" si="0"/>
        <v>Middle Investors</v>
      </c>
      <c r="D59">
        <v>1</v>
      </c>
      <c r="E59" s="1">
        <v>350000</v>
      </c>
      <c r="F59" s="12" t="str">
        <f t="shared" si="1"/>
        <v>MIDDLE INCOME</v>
      </c>
      <c r="G59" t="s">
        <v>21</v>
      </c>
      <c r="H59" s="1">
        <v>5000</v>
      </c>
      <c r="I59" t="s">
        <v>34</v>
      </c>
      <c r="J59" t="s">
        <v>13</v>
      </c>
      <c r="K59" t="s">
        <v>31</v>
      </c>
      <c r="L59" s="1">
        <v>15</v>
      </c>
    </row>
    <row r="60" spans="1:12" x14ac:dyDescent="0.3">
      <c r="A60" t="s">
        <v>15</v>
      </c>
      <c r="B60" s="1">
        <v>24</v>
      </c>
      <c r="C60" s="1" t="str">
        <f t="shared" si="0"/>
        <v>Young Investors</v>
      </c>
      <c r="D60">
        <v>1</v>
      </c>
      <c r="E60" s="1">
        <v>200000</v>
      </c>
      <c r="F60" s="12" t="str">
        <f t="shared" si="1"/>
        <v>LOW INCOME</v>
      </c>
      <c r="G60" t="s">
        <v>18</v>
      </c>
      <c r="H60" s="1">
        <v>1000</v>
      </c>
      <c r="I60" t="s">
        <v>30</v>
      </c>
      <c r="J60" t="s">
        <v>17</v>
      </c>
      <c r="K60" t="s">
        <v>20</v>
      </c>
      <c r="L60" s="1">
        <v>15</v>
      </c>
    </row>
    <row r="61" spans="1:12" x14ac:dyDescent="0.3">
      <c r="A61" t="s">
        <v>10</v>
      </c>
      <c r="B61" s="1">
        <v>25</v>
      </c>
      <c r="C61" s="1" t="str">
        <f t="shared" si="0"/>
        <v>Young Investors</v>
      </c>
      <c r="D61">
        <v>1</v>
      </c>
      <c r="E61" s="1">
        <v>350000</v>
      </c>
      <c r="F61" s="12" t="str">
        <f t="shared" si="1"/>
        <v>MIDDLE INCOME</v>
      </c>
      <c r="G61" t="s">
        <v>28</v>
      </c>
      <c r="H61" s="1">
        <v>2500</v>
      </c>
      <c r="I61" t="s">
        <v>12</v>
      </c>
      <c r="J61" t="s">
        <v>13</v>
      </c>
      <c r="K61" t="s">
        <v>40</v>
      </c>
      <c r="L61" s="1">
        <v>4</v>
      </c>
    </row>
    <row r="62" spans="1:12" x14ac:dyDescent="0.3">
      <c r="A62" t="s">
        <v>10</v>
      </c>
      <c r="B62" s="1">
        <v>26</v>
      </c>
      <c r="C62" s="1" t="str">
        <f t="shared" si="0"/>
        <v>Middle Investors</v>
      </c>
      <c r="D62">
        <v>1</v>
      </c>
      <c r="E62" s="1">
        <v>400000</v>
      </c>
      <c r="F62" s="12" t="str">
        <f t="shared" si="1"/>
        <v>MIDDLE INCOME</v>
      </c>
      <c r="G62" t="s">
        <v>21</v>
      </c>
      <c r="H62" s="1">
        <v>2500</v>
      </c>
      <c r="I62" t="s">
        <v>22</v>
      </c>
      <c r="J62" t="s">
        <v>19</v>
      </c>
      <c r="K62" t="s">
        <v>33</v>
      </c>
      <c r="L62" s="1">
        <v>10</v>
      </c>
    </row>
    <row r="63" spans="1:12" x14ac:dyDescent="0.3">
      <c r="A63" t="s">
        <v>15</v>
      </c>
      <c r="B63" s="1">
        <v>18</v>
      </c>
      <c r="C63" s="1" t="str">
        <f t="shared" si="0"/>
        <v>Young Investors</v>
      </c>
      <c r="D63">
        <v>0</v>
      </c>
      <c r="E63" s="1">
        <v>0</v>
      </c>
      <c r="F63" s="12" t="str">
        <f t="shared" si="1"/>
        <v>LOW INCOME</v>
      </c>
      <c r="G63" t="s">
        <v>11</v>
      </c>
      <c r="H63" s="1">
        <v>200</v>
      </c>
      <c r="I63" t="s">
        <v>12</v>
      </c>
      <c r="J63" t="s">
        <v>13</v>
      </c>
      <c r="K63" t="s">
        <v>29</v>
      </c>
      <c r="L63" s="1">
        <v>5</v>
      </c>
    </row>
    <row r="64" spans="1:12" x14ac:dyDescent="0.3">
      <c r="A64" t="s">
        <v>10</v>
      </c>
      <c r="B64" s="1">
        <v>27</v>
      </c>
      <c r="C64" s="1" t="str">
        <f t="shared" si="0"/>
        <v>Middle Investors</v>
      </c>
      <c r="D64">
        <v>1</v>
      </c>
      <c r="E64" s="1">
        <v>400000</v>
      </c>
      <c r="F64" s="12" t="str">
        <f t="shared" si="1"/>
        <v>MIDDLE INCOME</v>
      </c>
      <c r="G64" t="s">
        <v>18</v>
      </c>
      <c r="H64" s="1">
        <v>1000</v>
      </c>
      <c r="I64" t="s">
        <v>16</v>
      </c>
      <c r="J64" t="s">
        <v>17</v>
      </c>
      <c r="K64" t="s">
        <v>14</v>
      </c>
      <c r="L64" s="1">
        <v>8</v>
      </c>
    </row>
    <row r="65" spans="1:12" x14ac:dyDescent="0.3">
      <c r="A65" t="s">
        <v>10</v>
      </c>
      <c r="B65" s="1">
        <v>27</v>
      </c>
      <c r="C65" s="1" t="str">
        <f t="shared" si="0"/>
        <v>Middle Investors</v>
      </c>
      <c r="D65">
        <v>1</v>
      </c>
      <c r="E65" s="1">
        <v>250000</v>
      </c>
      <c r="F65" s="12" t="str">
        <f t="shared" si="1"/>
        <v>MIDDLE INCOME</v>
      </c>
      <c r="G65" t="s">
        <v>18</v>
      </c>
      <c r="H65" s="1">
        <v>1500</v>
      </c>
      <c r="I65" t="s">
        <v>30</v>
      </c>
      <c r="J65" t="s">
        <v>17</v>
      </c>
      <c r="K65" t="s">
        <v>35</v>
      </c>
      <c r="L65" s="1">
        <v>5</v>
      </c>
    </row>
    <row r="66" spans="1:12" x14ac:dyDescent="0.3">
      <c r="A66" t="s">
        <v>15</v>
      </c>
      <c r="B66" s="1">
        <v>23</v>
      </c>
      <c r="C66" s="1" t="str">
        <f t="shared" si="0"/>
        <v>Young Investors</v>
      </c>
      <c r="D66">
        <v>1</v>
      </c>
      <c r="E66" s="1">
        <v>150000</v>
      </c>
      <c r="F66" s="12" t="str">
        <f t="shared" si="1"/>
        <v>LOW INCOME</v>
      </c>
      <c r="G66" t="s">
        <v>18</v>
      </c>
      <c r="H66" s="1">
        <v>1000</v>
      </c>
      <c r="I66" t="s">
        <v>12</v>
      </c>
      <c r="J66" t="s">
        <v>13</v>
      </c>
      <c r="K66" t="s">
        <v>29</v>
      </c>
      <c r="L66" s="1">
        <v>7</v>
      </c>
    </row>
    <row r="67" spans="1:12" x14ac:dyDescent="0.3">
      <c r="A67" t="s">
        <v>10</v>
      </c>
      <c r="B67" s="1">
        <v>36</v>
      </c>
      <c r="C67" s="1" t="str">
        <f t="shared" ref="C67:C101" si="2">IF(B67&lt;=25, "Young Investors", IF(B67&lt;=35, "Middle Investors", IF(B67&lt;=45, "Old Investors", IF(B67&gt;46, "Very Old Investors"))))</f>
        <v>Old Investors</v>
      </c>
      <c r="D67">
        <v>1</v>
      </c>
      <c r="E67" s="1">
        <v>600000</v>
      </c>
      <c r="F67" s="12" t="str">
        <f t="shared" ref="F67:F101" si="3">IF(E67&lt;=200000,"LOW INCOME", IF(E67&lt;=400000,"MIDDLE INCOME", "HIGH INCOME"))</f>
        <v>HIGH INCOME</v>
      </c>
      <c r="G67" t="s">
        <v>37</v>
      </c>
      <c r="H67" s="1">
        <v>8500</v>
      </c>
      <c r="I67" t="s">
        <v>30</v>
      </c>
      <c r="J67" t="s">
        <v>19</v>
      </c>
      <c r="K67" t="s">
        <v>40</v>
      </c>
      <c r="L67" s="1">
        <v>10</v>
      </c>
    </row>
    <row r="68" spans="1:12" x14ac:dyDescent="0.3">
      <c r="A68" t="s">
        <v>15</v>
      </c>
      <c r="B68" s="1">
        <v>29</v>
      </c>
      <c r="C68" s="1" t="str">
        <f t="shared" si="2"/>
        <v>Middle Investors</v>
      </c>
      <c r="D68">
        <v>0</v>
      </c>
      <c r="E68" s="1">
        <v>0</v>
      </c>
      <c r="F68" s="12" t="str">
        <f t="shared" si="3"/>
        <v>LOW INCOME</v>
      </c>
      <c r="G68" t="s">
        <v>42</v>
      </c>
      <c r="H68" s="1">
        <v>1000</v>
      </c>
      <c r="I68" t="s">
        <v>12</v>
      </c>
      <c r="J68" t="s">
        <v>13</v>
      </c>
      <c r="K68" t="s">
        <v>29</v>
      </c>
      <c r="L68" s="1">
        <v>1</v>
      </c>
    </row>
    <row r="69" spans="1:12" x14ac:dyDescent="0.3">
      <c r="A69" t="s">
        <v>10</v>
      </c>
      <c r="B69" s="1">
        <v>28</v>
      </c>
      <c r="C69" s="1" t="str">
        <f t="shared" si="2"/>
        <v>Middle Investors</v>
      </c>
      <c r="D69">
        <v>1</v>
      </c>
      <c r="E69" s="1">
        <v>400000</v>
      </c>
      <c r="F69" s="12" t="str">
        <f t="shared" si="3"/>
        <v>MIDDLE INCOME</v>
      </c>
      <c r="G69" t="s">
        <v>18</v>
      </c>
      <c r="H69" s="1">
        <v>1200</v>
      </c>
      <c r="I69" t="s">
        <v>16</v>
      </c>
      <c r="J69" t="s">
        <v>17</v>
      </c>
      <c r="K69" t="s">
        <v>20</v>
      </c>
      <c r="L69" s="1">
        <v>15</v>
      </c>
    </row>
    <row r="70" spans="1:12" x14ac:dyDescent="0.3">
      <c r="A70" t="s">
        <v>10</v>
      </c>
      <c r="B70" s="1">
        <v>23</v>
      </c>
      <c r="C70" s="1" t="str">
        <f t="shared" si="2"/>
        <v>Young Investors</v>
      </c>
      <c r="D70">
        <v>1</v>
      </c>
      <c r="E70" s="1">
        <v>150000</v>
      </c>
      <c r="F70" s="12" t="str">
        <f t="shared" si="3"/>
        <v>LOW INCOME</v>
      </c>
      <c r="G70" t="s">
        <v>21</v>
      </c>
      <c r="H70" s="1">
        <v>500</v>
      </c>
      <c r="I70" t="s">
        <v>22</v>
      </c>
      <c r="J70" t="s">
        <v>43</v>
      </c>
      <c r="K70" t="s">
        <v>14</v>
      </c>
      <c r="L70" s="1">
        <v>8</v>
      </c>
    </row>
    <row r="71" spans="1:12" x14ac:dyDescent="0.3">
      <c r="A71" t="s">
        <v>15</v>
      </c>
      <c r="B71" s="1">
        <v>27</v>
      </c>
      <c r="C71" s="1" t="str">
        <f t="shared" si="2"/>
        <v>Middle Investors</v>
      </c>
      <c r="D71">
        <v>1</v>
      </c>
      <c r="E71" s="1">
        <v>350000</v>
      </c>
      <c r="F71" s="12" t="str">
        <f t="shared" si="3"/>
        <v>MIDDLE INCOME</v>
      </c>
      <c r="G71" t="s">
        <v>11</v>
      </c>
      <c r="H71" s="1">
        <v>2500</v>
      </c>
      <c r="I71" t="s">
        <v>12</v>
      </c>
      <c r="J71" t="s">
        <v>13</v>
      </c>
      <c r="K71" t="s">
        <v>31</v>
      </c>
      <c r="L71" s="1">
        <v>10</v>
      </c>
    </row>
    <row r="72" spans="1:12" x14ac:dyDescent="0.3">
      <c r="A72" t="s">
        <v>10</v>
      </c>
      <c r="B72" s="1">
        <v>29</v>
      </c>
      <c r="C72" s="1" t="str">
        <f t="shared" si="2"/>
        <v>Middle Investors</v>
      </c>
      <c r="D72">
        <v>1</v>
      </c>
      <c r="E72" s="1">
        <v>400000</v>
      </c>
      <c r="F72" s="12" t="str">
        <f t="shared" si="3"/>
        <v>MIDDLE INCOME</v>
      </c>
      <c r="G72" t="s">
        <v>21</v>
      </c>
      <c r="H72" s="1">
        <v>3000</v>
      </c>
      <c r="I72" t="s">
        <v>30</v>
      </c>
      <c r="J72" t="s">
        <v>24</v>
      </c>
      <c r="K72" t="s">
        <v>31</v>
      </c>
      <c r="L72" s="1">
        <v>10</v>
      </c>
    </row>
    <row r="73" spans="1:12" x14ac:dyDescent="0.3">
      <c r="A73" t="s">
        <v>15</v>
      </c>
      <c r="B73" s="1">
        <v>25</v>
      </c>
      <c r="C73" s="1" t="str">
        <f t="shared" si="2"/>
        <v>Young Investors</v>
      </c>
      <c r="D73">
        <v>1</v>
      </c>
      <c r="E73" s="1">
        <v>400000</v>
      </c>
      <c r="F73" s="12" t="str">
        <f t="shared" si="3"/>
        <v>MIDDLE INCOME</v>
      </c>
      <c r="G73" t="s">
        <v>21</v>
      </c>
      <c r="H73" s="1">
        <v>3000</v>
      </c>
      <c r="I73" t="s">
        <v>34</v>
      </c>
      <c r="J73" t="s">
        <v>17</v>
      </c>
      <c r="K73" t="s">
        <v>14</v>
      </c>
      <c r="L73" s="1">
        <v>8</v>
      </c>
    </row>
    <row r="74" spans="1:12" x14ac:dyDescent="0.3">
      <c r="A74" t="s">
        <v>10</v>
      </c>
      <c r="B74" s="1">
        <v>35</v>
      </c>
      <c r="C74" s="1" t="str">
        <f t="shared" si="2"/>
        <v>Middle Investors</v>
      </c>
      <c r="D74">
        <v>1</v>
      </c>
      <c r="E74" s="1">
        <v>300000</v>
      </c>
      <c r="F74" s="12" t="str">
        <f t="shared" si="3"/>
        <v>MIDDLE INCOME</v>
      </c>
      <c r="G74" t="s">
        <v>11</v>
      </c>
      <c r="H74" s="1">
        <v>2000</v>
      </c>
      <c r="I74" t="s">
        <v>34</v>
      </c>
      <c r="J74" t="s">
        <v>17</v>
      </c>
      <c r="K74" t="s">
        <v>20</v>
      </c>
      <c r="L74" s="1">
        <v>10</v>
      </c>
    </row>
    <row r="75" spans="1:12" x14ac:dyDescent="0.3">
      <c r="A75" t="s">
        <v>10</v>
      </c>
      <c r="B75" s="1">
        <v>37</v>
      </c>
      <c r="C75" s="1" t="str">
        <f t="shared" si="2"/>
        <v>Old Investors</v>
      </c>
      <c r="D75">
        <v>1</v>
      </c>
      <c r="E75" s="1">
        <v>400000</v>
      </c>
      <c r="F75" s="12" t="str">
        <f t="shared" si="3"/>
        <v>MIDDLE INCOME</v>
      </c>
      <c r="G75" t="s">
        <v>11</v>
      </c>
      <c r="H75" s="1">
        <v>5000</v>
      </c>
      <c r="I75" t="s">
        <v>22</v>
      </c>
      <c r="J75" t="s">
        <v>19</v>
      </c>
      <c r="K75" t="s">
        <v>40</v>
      </c>
      <c r="L75" s="1">
        <v>21</v>
      </c>
    </row>
    <row r="76" spans="1:12" x14ac:dyDescent="0.3">
      <c r="A76" t="s">
        <v>15</v>
      </c>
      <c r="B76" s="1">
        <v>23</v>
      </c>
      <c r="C76" s="1" t="str">
        <f t="shared" si="2"/>
        <v>Young Investors</v>
      </c>
      <c r="D76">
        <v>1</v>
      </c>
      <c r="E76" s="1">
        <v>400000</v>
      </c>
      <c r="F76" s="12" t="str">
        <f t="shared" si="3"/>
        <v>MIDDLE INCOME</v>
      </c>
      <c r="G76" t="s">
        <v>11</v>
      </c>
      <c r="H76" s="1">
        <v>15000</v>
      </c>
      <c r="I76" t="s">
        <v>12</v>
      </c>
      <c r="J76" t="s">
        <v>13</v>
      </c>
      <c r="K76" t="s">
        <v>29</v>
      </c>
      <c r="L76" s="1">
        <v>2</v>
      </c>
    </row>
    <row r="77" spans="1:12" x14ac:dyDescent="0.3">
      <c r="A77" t="s">
        <v>10</v>
      </c>
      <c r="B77" s="1">
        <v>18</v>
      </c>
      <c r="C77" s="1" t="str">
        <f t="shared" si="2"/>
        <v>Young Investors</v>
      </c>
      <c r="D77">
        <v>0</v>
      </c>
      <c r="E77" s="1">
        <v>0</v>
      </c>
      <c r="F77" s="12" t="str">
        <f t="shared" si="3"/>
        <v>LOW INCOME</v>
      </c>
      <c r="G77" t="s">
        <v>25</v>
      </c>
      <c r="H77" s="1">
        <v>5000</v>
      </c>
      <c r="I77" t="s">
        <v>16</v>
      </c>
      <c r="J77" t="s">
        <v>17</v>
      </c>
      <c r="K77" t="s">
        <v>35</v>
      </c>
      <c r="L77" s="1">
        <v>5</v>
      </c>
    </row>
    <row r="78" spans="1:12" x14ac:dyDescent="0.3">
      <c r="A78" t="s">
        <v>10</v>
      </c>
      <c r="B78" s="1">
        <v>20</v>
      </c>
      <c r="C78" s="1" t="str">
        <f t="shared" si="2"/>
        <v>Young Investors</v>
      </c>
      <c r="D78">
        <v>0</v>
      </c>
      <c r="E78" s="1">
        <v>0</v>
      </c>
      <c r="F78" s="12" t="str">
        <f t="shared" si="3"/>
        <v>LOW INCOME</v>
      </c>
      <c r="G78" t="s">
        <v>21</v>
      </c>
      <c r="H78" s="1">
        <v>600</v>
      </c>
      <c r="I78" t="s">
        <v>30</v>
      </c>
      <c r="J78" t="s">
        <v>24</v>
      </c>
      <c r="K78" t="s">
        <v>31</v>
      </c>
      <c r="L78" s="1">
        <v>15</v>
      </c>
    </row>
    <row r="79" spans="1:12" x14ac:dyDescent="0.3">
      <c r="A79" t="s">
        <v>15</v>
      </c>
      <c r="B79" s="1">
        <v>24</v>
      </c>
      <c r="C79" s="1" t="str">
        <f t="shared" si="2"/>
        <v>Young Investors</v>
      </c>
      <c r="D79">
        <v>0</v>
      </c>
      <c r="E79" s="1">
        <v>0</v>
      </c>
      <c r="F79" s="12" t="str">
        <f t="shared" si="3"/>
        <v>LOW INCOME</v>
      </c>
      <c r="G79" t="s">
        <v>28</v>
      </c>
      <c r="H79" s="1">
        <v>500</v>
      </c>
      <c r="I79" t="s">
        <v>34</v>
      </c>
      <c r="J79" t="s">
        <v>13</v>
      </c>
      <c r="K79" t="s">
        <v>14</v>
      </c>
      <c r="L79" s="1">
        <v>7</v>
      </c>
    </row>
    <row r="80" spans="1:12" x14ac:dyDescent="0.3">
      <c r="A80" t="s">
        <v>15</v>
      </c>
      <c r="B80" s="1">
        <v>26</v>
      </c>
      <c r="C80" s="1" t="str">
        <f t="shared" si="2"/>
        <v>Middle Investors</v>
      </c>
      <c r="D80">
        <v>1</v>
      </c>
      <c r="E80" s="1">
        <v>350000</v>
      </c>
      <c r="F80" s="12" t="str">
        <f t="shared" si="3"/>
        <v>MIDDLE INCOME</v>
      </c>
      <c r="G80" t="s">
        <v>28</v>
      </c>
      <c r="H80" s="1">
        <v>2500</v>
      </c>
      <c r="I80" t="s">
        <v>44</v>
      </c>
      <c r="J80" t="s">
        <v>13</v>
      </c>
      <c r="K80" t="s">
        <v>29</v>
      </c>
      <c r="L80" s="1">
        <v>5</v>
      </c>
    </row>
    <row r="81" spans="1:12" x14ac:dyDescent="0.3">
      <c r="A81" t="s">
        <v>15</v>
      </c>
      <c r="B81" s="1">
        <v>27</v>
      </c>
      <c r="C81" s="1" t="str">
        <f t="shared" si="2"/>
        <v>Middle Investors</v>
      </c>
      <c r="D81">
        <v>0</v>
      </c>
      <c r="E81" s="1">
        <v>0</v>
      </c>
      <c r="F81" s="12" t="str">
        <f t="shared" si="3"/>
        <v>LOW INCOME</v>
      </c>
      <c r="G81" t="s">
        <v>28</v>
      </c>
      <c r="H81" s="1">
        <v>1500</v>
      </c>
      <c r="I81" t="s">
        <v>12</v>
      </c>
      <c r="J81" t="s">
        <v>13</v>
      </c>
      <c r="K81" t="s">
        <v>14</v>
      </c>
      <c r="L81" s="1">
        <v>6</v>
      </c>
    </row>
    <row r="82" spans="1:12" x14ac:dyDescent="0.3">
      <c r="A82" t="s">
        <v>10</v>
      </c>
      <c r="B82" s="1">
        <v>25</v>
      </c>
      <c r="C82" s="1" t="str">
        <f t="shared" si="2"/>
        <v>Young Investors</v>
      </c>
      <c r="D82">
        <v>1</v>
      </c>
      <c r="E82" s="1">
        <v>200000</v>
      </c>
      <c r="F82" s="12" t="str">
        <f t="shared" si="3"/>
        <v>LOW INCOME</v>
      </c>
      <c r="G82" t="s">
        <v>21</v>
      </c>
      <c r="H82" s="1">
        <v>1000</v>
      </c>
      <c r="I82" t="s">
        <v>30</v>
      </c>
      <c r="J82" t="s">
        <v>13</v>
      </c>
      <c r="K82" t="s">
        <v>14</v>
      </c>
      <c r="L82" s="1">
        <v>10</v>
      </c>
    </row>
    <row r="83" spans="1:12" x14ac:dyDescent="0.3">
      <c r="A83" t="s">
        <v>15</v>
      </c>
      <c r="B83" s="1">
        <v>32</v>
      </c>
      <c r="C83" s="1" t="str">
        <f t="shared" si="2"/>
        <v>Middle Investors</v>
      </c>
      <c r="D83">
        <v>1</v>
      </c>
      <c r="E83" s="1">
        <v>300000</v>
      </c>
      <c r="F83" s="12" t="str">
        <f t="shared" si="3"/>
        <v>MIDDLE INCOME</v>
      </c>
      <c r="G83" t="s">
        <v>11</v>
      </c>
      <c r="H83" s="1">
        <v>5000</v>
      </c>
      <c r="I83" t="s">
        <v>34</v>
      </c>
      <c r="J83" t="s">
        <v>45</v>
      </c>
      <c r="K83" t="s">
        <v>20</v>
      </c>
      <c r="L83" s="1">
        <v>15</v>
      </c>
    </row>
    <row r="84" spans="1:12" x14ac:dyDescent="0.3">
      <c r="A84" t="s">
        <v>10</v>
      </c>
      <c r="B84" s="1">
        <v>26</v>
      </c>
      <c r="C84" s="1" t="str">
        <f t="shared" si="2"/>
        <v>Middle Investors</v>
      </c>
      <c r="D84">
        <v>1</v>
      </c>
      <c r="E84" s="1">
        <v>250000</v>
      </c>
      <c r="F84" s="12" t="str">
        <f t="shared" si="3"/>
        <v>MIDDLE INCOME</v>
      </c>
      <c r="G84" t="s">
        <v>18</v>
      </c>
      <c r="H84" s="1">
        <v>1500</v>
      </c>
      <c r="I84" t="s">
        <v>16</v>
      </c>
      <c r="J84" t="s">
        <v>17</v>
      </c>
      <c r="K84" t="s">
        <v>40</v>
      </c>
      <c r="L84" s="1">
        <v>5</v>
      </c>
    </row>
    <row r="85" spans="1:12" x14ac:dyDescent="0.3">
      <c r="A85" t="s">
        <v>10</v>
      </c>
      <c r="B85" s="1">
        <v>25</v>
      </c>
      <c r="C85" s="1" t="str">
        <f t="shared" si="2"/>
        <v>Young Investors</v>
      </c>
      <c r="D85">
        <v>1</v>
      </c>
      <c r="E85" s="1">
        <v>300000</v>
      </c>
      <c r="F85" s="12" t="str">
        <f t="shared" si="3"/>
        <v>MIDDLE INCOME</v>
      </c>
      <c r="G85" t="s">
        <v>21</v>
      </c>
      <c r="H85" s="1">
        <v>5000</v>
      </c>
      <c r="I85" t="s">
        <v>89</v>
      </c>
      <c r="J85" t="s">
        <v>13</v>
      </c>
      <c r="K85" t="s">
        <v>14</v>
      </c>
      <c r="L85" s="1">
        <v>10</v>
      </c>
    </row>
    <row r="86" spans="1:12" x14ac:dyDescent="0.3">
      <c r="A86" t="s">
        <v>10</v>
      </c>
      <c r="B86" s="1">
        <v>24</v>
      </c>
      <c r="C86" s="1" t="str">
        <f t="shared" si="2"/>
        <v>Young Investors</v>
      </c>
      <c r="D86">
        <v>0</v>
      </c>
      <c r="E86" s="1">
        <v>0</v>
      </c>
      <c r="F86" s="12" t="str">
        <f t="shared" si="3"/>
        <v>LOW INCOME</v>
      </c>
      <c r="G86" t="s">
        <v>18</v>
      </c>
      <c r="H86" s="1">
        <v>500</v>
      </c>
      <c r="I86" t="s">
        <v>30</v>
      </c>
      <c r="J86" t="s">
        <v>17</v>
      </c>
      <c r="K86" t="s">
        <v>14</v>
      </c>
      <c r="L86" s="1">
        <v>5</v>
      </c>
    </row>
    <row r="87" spans="1:12" x14ac:dyDescent="0.3">
      <c r="A87" t="s">
        <v>15</v>
      </c>
      <c r="B87" s="1">
        <v>21</v>
      </c>
      <c r="C87" s="1" t="str">
        <f t="shared" si="2"/>
        <v>Young Investors</v>
      </c>
      <c r="D87">
        <v>0</v>
      </c>
      <c r="E87" s="1">
        <v>0</v>
      </c>
      <c r="F87" s="12" t="str">
        <f t="shared" si="3"/>
        <v>LOW INCOME</v>
      </c>
      <c r="G87" t="s">
        <v>11</v>
      </c>
      <c r="H87" s="1">
        <v>500</v>
      </c>
      <c r="I87" t="s">
        <v>12</v>
      </c>
      <c r="J87" t="s">
        <v>13</v>
      </c>
      <c r="K87" t="s">
        <v>29</v>
      </c>
      <c r="L87" s="1">
        <v>5</v>
      </c>
    </row>
    <row r="88" spans="1:12" x14ac:dyDescent="0.3">
      <c r="A88" t="s">
        <v>10</v>
      </c>
      <c r="B88" s="1">
        <v>28</v>
      </c>
      <c r="C88" s="1" t="str">
        <f t="shared" si="2"/>
        <v>Middle Investors</v>
      </c>
      <c r="D88">
        <v>1</v>
      </c>
      <c r="E88" s="1">
        <v>350000</v>
      </c>
      <c r="F88" s="12" t="str">
        <f t="shared" si="3"/>
        <v>MIDDLE INCOME</v>
      </c>
      <c r="G88" t="s">
        <v>28</v>
      </c>
      <c r="H88" s="1">
        <v>1500</v>
      </c>
      <c r="I88" t="s">
        <v>22</v>
      </c>
      <c r="J88" t="s">
        <v>13</v>
      </c>
      <c r="K88" t="s">
        <v>33</v>
      </c>
      <c r="L88" s="1">
        <v>5</v>
      </c>
    </row>
    <row r="89" spans="1:12" x14ac:dyDescent="0.3">
      <c r="A89" t="s">
        <v>10</v>
      </c>
      <c r="B89" s="1">
        <v>26</v>
      </c>
      <c r="C89" s="1" t="str">
        <f t="shared" si="2"/>
        <v>Middle Investors</v>
      </c>
      <c r="D89">
        <v>1</v>
      </c>
      <c r="E89" s="1">
        <v>250000</v>
      </c>
      <c r="F89" s="12" t="str">
        <f t="shared" si="3"/>
        <v>MIDDLE INCOME</v>
      </c>
      <c r="G89" t="s">
        <v>18</v>
      </c>
      <c r="H89" s="1">
        <v>1000</v>
      </c>
      <c r="I89" t="s">
        <v>16</v>
      </c>
      <c r="J89" t="s">
        <v>17</v>
      </c>
      <c r="K89" t="s">
        <v>14</v>
      </c>
      <c r="L89" s="1">
        <v>10</v>
      </c>
    </row>
    <row r="90" spans="1:12" x14ac:dyDescent="0.3">
      <c r="A90" t="s">
        <v>10</v>
      </c>
      <c r="B90" s="1">
        <v>27</v>
      </c>
      <c r="C90" s="1" t="str">
        <f t="shared" si="2"/>
        <v>Middle Investors</v>
      </c>
      <c r="D90">
        <v>1</v>
      </c>
      <c r="E90" s="1">
        <v>400000</v>
      </c>
      <c r="F90" s="12" t="str">
        <f t="shared" si="3"/>
        <v>MIDDLE INCOME</v>
      </c>
      <c r="G90" t="s">
        <v>37</v>
      </c>
      <c r="H90" s="1">
        <v>8500</v>
      </c>
      <c r="I90" t="s">
        <v>22</v>
      </c>
      <c r="J90" t="s">
        <v>13</v>
      </c>
      <c r="K90" t="s">
        <v>35</v>
      </c>
      <c r="L90" s="1">
        <v>5</v>
      </c>
    </row>
    <row r="91" spans="1:12" x14ac:dyDescent="0.3">
      <c r="A91" t="s">
        <v>15</v>
      </c>
      <c r="B91" s="1">
        <v>24</v>
      </c>
      <c r="C91" s="1" t="str">
        <f t="shared" si="2"/>
        <v>Young Investors</v>
      </c>
      <c r="D91">
        <v>0</v>
      </c>
      <c r="E91" s="1">
        <v>0</v>
      </c>
      <c r="F91" s="12" t="str">
        <f t="shared" si="3"/>
        <v>LOW INCOME</v>
      </c>
      <c r="G91" t="s">
        <v>11</v>
      </c>
      <c r="H91" s="1">
        <v>1000</v>
      </c>
      <c r="I91" t="s">
        <v>12</v>
      </c>
      <c r="J91" t="s">
        <v>13</v>
      </c>
      <c r="K91" t="s">
        <v>29</v>
      </c>
      <c r="L91" s="1">
        <v>8</v>
      </c>
    </row>
    <row r="92" spans="1:12" x14ac:dyDescent="0.3">
      <c r="A92" t="s">
        <v>15</v>
      </c>
      <c r="B92" s="1">
        <v>26</v>
      </c>
      <c r="C92" s="1" t="str">
        <f t="shared" si="2"/>
        <v>Middle Investors</v>
      </c>
      <c r="D92">
        <v>1</v>
      </c>
      <c r="E92" s="1">
        <v>250000</v>
      </c>
      <c r="F92" s="12" t="str">
        <f t="shared" si="3"/>
        <v>MIDDLE INCOME</v>
      </c>
      <c r="G92" t="s">
        <v>21</v>
      </c>
      <c r="H92" s="1">
        <v>2500</v>
      </c>
      <c r="I92" t="s">
        <v>34</v>
      </c>
      <c r="J92" t="s">
        <v>17</v>
      </c>
      <c r="K92" t="s">
        <v>14</v>
      </c>
      <c r="L92" s="1">
        <v>8</v>
      </c>
    </row>
    <row r="93" spans="1:12" x14ac:dyDescent="0.3">
      <c r="A93" t="s">
        <v>10</v>
      </c>
      <c r="B93" s="1">
        <v>21</v>
      </c>
      <c r="C93" s="1" t="str">
        <f t="shared" si="2"/>
        <v>Young Investors</v>
      </c>
      <c r="D93">
        <v>1</v>
      </c>
      <c r="E93" s="1">
        <v>120000</v>
      </c>
      <c r="F93" s="12" t="str">
        <f t="shared" si="3"/>
        <v>LOW INCOME</v>
      </c>
      <c r="G93" t="s">
        <v>18</v>
      </c>
      <c r="H93" s="1">
        <v>500</v>
      </c>
      <c r="I93" t="s">
        <v>30</v>
      </c>
      <c r="J93" t="s">
        <v>19</v>
      </c>
      <c r="K93" t="s">
        <v>14</v>
      </c>
      <c r="L93" s="1">
        <v>5</v>
      </c>
    </row>
    <row r="94" spans="1:12" x14ac:dyDescent="0.3">
      <c r="A94" t="s">
        <v>10</v>
      </c>
      <c r="B94" s="1">
        <v>23</v>
      </c>
      <c r="C94" s="1" t="str">
        <f t="shared" si="2"/>
        <v>Young Investors</v>
      </c>
      <c r="D94">
        <v>1</v>
      </c>
      <c r="E94" s="1">
        <v>200000</v>
      </c>
      <c r="F94" s="12" t="str">
        <f t="shared" si="3"/>
        <v>LOW INCOME</v>
      </c>
      <c r="G94" t="s">
        <v>21</v>
      </c>
      <c r="H94" s="1">
        <v>1500</v>
      </c>
      <c r="I94" t="s">
        <v>16</v>
      </c>
      <c r="J94" t="s">
        <v>19</v>
      </c>
      <c r="K94" t="s">
        <v>20</v>
      </c>
      <c r="L94" s="1">
        <v>9</v>
      </c>
    </row>
    <row r="95" spans="1:12" x14ac:dyDescent="0.3">
      <c r="A95" t="s">
        <v>15</v>
      </c>
      <c r="B95" s="1">
        <v>22</v>
      </c>
      <c r="C95" s="1" t="str">
        <f t="shared" si="2"/>
        <v>Young Investors</v>
      </c>
      <c r="D95">
        <v>1</v>
      </c>
      <c r="E95" s="1">
        <v>120000</v>
      </c>
      <c r="F95" s="12" t="str">
        <f t="shared" si="3"/>
        <v>LOW INCOME</v>
      </c>
      <c r="G95" t="s">
        <v>21</v>
      </c>
      <c r="H95" s="1">
        <v>1500</v>
      </c>
      <c r="I95" t="s">
        <v>16</v>
      </c>
      <c r="J95" t="s">
        <v>24</v>
      </c>
      <c r="K95" t="s">
        <v>14</v>
      </c>
      <c r="L95" s="1">
        <v>8</v>
      </c>
    </row>
    <row r="96" spans="1:12" x14ac:dyDescent="0.3">
      <c r="A96" t="s">
        <v>10</v>
      </c>
      <c r="B96" s="1">
        <v>25</v>
      </c>
      <c r="C96" s="1" t="str">
        <f t="shared" si="2"/>
        <v>Young Investors</v>
      </c>
      <c r="D96">
        <v>1</v>
      </c>
      <c r="E96" s="1">
        <v>260000</v>
      </c>
      <c r="F96" s="12" t="str">
        <f t="shared" si="3"/>
        <v>MIDDLE INCOME</v>
      </c>
      <c r="G96" t="s">
        <v>28</v>
      </c>
      <c r="H96" s="1">
        <v>2000</v>
      </c>
      <c r="I96" t="s">
        <v>16</v>
      </c>
      <c r="J96" t="s">
        <v>13</v>
      </c>
      <c r="K96" t="s">
        <v>33</v>
      </c>
      <c r="L96" s="1">
        <v>5</v>
      </c>
    </row>
    <row r="97" spans="1:12" x14ac:dyDescent="0.3">
      <c r="A97" t="s">
        <v>10</v>
      </c>
      <c r="B97" s="1">
        <v>22</v>
      </c>
      <c r="C97" s="1" t="str">
        <f t="shared" si="2"/>
        <v>Young Investors</v>
      </c>
      <c r="D97">
        <v>0</v>
      </c>
      <c r="E97" s="1">
        <v>0</v>
      </c>
      <c r="F97" s="12" t="str">
        <f t="shared" si="3"/>
        <v>LOW INCOME</v>
      </c>
      <c r="G97" t="s">
        <v>18</v>
      </c>
      <c r="H97" s="1">
        <v>500</v>
      </c>
      <c r="I97" t="s">
        <v>16</v>
      </c>
      <c r="J97" t="s">
        <v>17</v>
      </c>
      <c r="K97" t="s">
        <v>14</v>
      </c>
      <c r="L97" s="1">
        <v>10</v>
      </c>
    </row>
    <row r="98" spans="1:12" x14ac:dyDescent="0.3">
      <c r="A98" t="s">
        <v>10</v>
      </c>
      <c r="B98" s="1">
        <v>29</v>
      </c>
      <c r="C98" s="1" t="str">
        <f t="shared" si="2"/>
        <v>Middle Investors</v>
      </c>
      <c r="D98">
        <v>1</v>
      </c>
      <c r="E98" s="1">
        <v>250000</v>
      </c>
      <c r="F98" s="12" t="str">
        <f t="shared" si="3"/>
        <v>MIDDLE INCOME</v>
      </c>
      <c r="G98" t="s">
        <v>21</v>
      </c>
      <c r="H98" s="1">
        <v>2000</v>
      </c>
      <c r="I98" t="s">
        <v>34</v>
      </c>
      <c r="J98" t="s">
        <v>19</v>
      </c>
      <c r="K98" t="s">
        <v>29</v>
      </c>
      <c r="L98" s="1">
        <v>2</v>
      </c>
    </row>
    <row r="99" spans="1:12" x14ac:dyDescent="0.3">
      <c r="A99" t="s">
        <v>15</v>
      </c>
      <c r="B99" s="1">
        <v>23</v>
      </c>
      <c r="C99" s="1" t="str">
        <f t="shared" si="2"/>
        <v>Young Investors</v>
      </c>
      <c r="D99">
        <v>1</v>
      </c>
      <c r="E99" s="1">
        <v>150000</v>
      </c>
      <c r="F99" s="12" t="str">
        <f t="shared" si="3"/>
        <v>LOW INCOME</v>
      </c>
      <c r="G99" t="s">
        <v>11</v>
      </c>
      <c r="H99" s="1">
        <v>1000</v>
      </c>
      <c r="I99" t="s">
        <v>12</v>
      </c>
      <c r="J99" t="s">
        <v>13</v>
      </c>
      <c r="K99" t="s">
        <v>35</v>
      </c>
      <c r="L99" s="1">
        <v>10</v>
      </c>
    </row>
    <row r="100" spans="1:12" x14ac:dyDescent="0.3">
      <c r="A100" t="s">
        <v>15</v>
      </c>
      <c r="B100" s="1">
        <v>22</v>
      </c>
      <c r="C100" s="1" t="str">
        <f t="shared" si="2"/>
        <v>Young Investors</v>
      </c>
      <c r="D100">
        <v>0</v>
      </c>
      <c r="E100" s="1">
        <v>0</v>
      </c>
      <c r="F100" s="12" t="str">
        <f t="shared" si="3"/>
        <v>LOW INCOME</v>
      </c>
      <c r="G100" t="s">
        <v>21</v>
      </c>
      <c r="H100" s="1">
        <v>1000</v>
      </c>
      <c r="I100" t="s">
        <v>34</v>
      </c>
      <c r="J100" t="s">
        <v>17</v>
      </c>
      <c r="K100" t="s">
        <v>14</v>
      </c>
      <c r="L100" s="1">
        <v>6</v>
      </c>
    </row>
    <row r="101" spans="1:12" x14ac:dyDescent="0.3">
      <c r="A101" t="s">
        <v>10</v>
      </c>
      <c r="B101" s="1">
        <v>26</v>
      </c>
      <c r="C101" s="1" t="str">
        <f t="shared" si="2"/>
        <v>Middle Investors</v>
      </c>
      <c r="D101">
        <v>1</v>
      </c>
      <c r="E101" s="1">
        <v>250000</v>
      </c>
      <c r="F101" s="12" t="str">
        <f t="shared" si="3"/>
        <v>MIDDLE INCOME</v>
      </c>
      <c r="G101" t="s">
        <v>18</v>
      </c>
      <c r="H101" s="1">
        <v>1500</v>
      </c>
      <c r="I101" t="s">
        <v>22</v>
      </c>
      <c r="J101" t="s">
        <v>13</v>
      </c>
      <c r="K101" t="s">
        <v>20</v>
      </c>
      <c r="L101" s="1">
        <v>10</v>
      </c>
    </row>
  </sheetData>
  <conditionalFormatting sqref="A1:L101">
    <cfRule type="containsBlanks" dxfId="1" priority="1">
      <formula>LEN(TRIM(A1))=0</formula>
    </cfRule>
    <cfRule type="containsBlanks" priority="2">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C874-BFF3-4980-AA8F-9A88BDD8F6CD}">
  <dimension ref="A1:A21"/>
  <sheetViews>
    <sheetView showGridLines="0" workbookViewId="0">
      <selection activeCell="D22" sqref="D22"/>
    </sheetView>
  </sheetViews>
  <sheetFormatPr defaultRowHeight="15.6" x14ac:dyDescent="0.3"/>
  <cols>
    <col min="1" max="16384" width="8.88671875" style="5"/>
  </cols>
  <sheetData>
    <row r="1" spans="1:1" ht="19.2" x14ac:dyDescent="0.3">
      <c r="A1" s="4" t="s">
        <v>54</v>
      </c>
    </row>
    <row r="2" spans="1:1" x14ac:dyDescent="0.3">
      <c r="A2" s="5" t="s">
        <v>53</v>
      </c>
    </row>
    <row r="4" spans="1:1" ht="19.2" x14ac:dyDescent="0.3">
      <c r="A4" s="4" t="s">
        <v>52</v>
      </c>
    </row>
    <row r="5" spans="1:1" x14ac:dyDescent="0.3">
      <c r="A5" s="6" t="s">
        <v>55</v>
      </c>
    </row>
    <row r="6" spans="1:1" x14ac:dyDescent="0.3">
      <c r="A6" s="7" t="s">
        <v>56</v>
      </c>
    </row>
    <row r="7" spans="1:1" x14ac:dyDescent="0.3">
      <c r="A7" s="6" t="s">
        <v>57</v>
      </c>
    </row>
    <row r="8" spans="1:1" x14ac:dyDescent="0.3">
      <c r="A8" s="7" t="s">
        <v>58</v>
      </c>
    </row>
    <row r="9" spans="1:1" x14ac:dyDescent="0.3">
      <c r="A9" s="6" t="s">
        <v>59</v>
      </c>
    </row>
    <row r="10" spans="1:1" x14ac:dyDescent="0.3">
      <c r="A10" s="7" t="s">
        <v>60</v>
      </c>
    </row>
    <row r="11" spans="1:1" x14ac:dyDescent="0.3">
      <c r="A11" s="6" t="s">
        <v>61</v>
      </c>
    </row>
    <row r="12" spans="1:1" x14ac:dyDescent="0.3">
      <c r="A12" s="6" t="s">
        <v>62</v>
      </c>
    </row>
    <row r="13" spans="1:1" x14ac:dyDescent="0.3">
      <c r="A13" s="6" t="s">
        <v>63</v>
      </c>
    </row>
    <row r="14" spans="1:1" x14ac:dyDescent="0.3">
      <c r="A14" s="7" t="s">
        <v>64</v>
      </c>
    </row>
    <row r="16" spans="1:1" x14ac:dyDescent="0.3">
      <c r="A16" s="6" t="s">
        <v>51</v>
      </c>
    </row>
    <row r="17" spans="1:1" x14ac:dyDescent="0.3">
      <c r="A17" s="5" t="s">
        <v>46</v>
      </c>
    </row>
    <row r="18" spans="1:1" x14ac:dyDescent="0.3">
      <c r="A18" s="5" t="s">
        <v>49</v>
      </c>
    </row>
    <row r="19" spans="1:1" x14ac:dyDescent="0.3">
      <c r="A19" s="5" t="s">
        <v>48</v>
      </c>
    </row>
    <row r="20" spans="1:1" x14ac:dyDescent="0.3">
      <c r="A20" s="5" t="s">
        <v>50</v>
      </c>
    </row>
    <row r="21" spans="1:1" x14ac:dyDescent="0.3">
      <c r="A21" s="5" t="s">
        <v>47</v>
      </c>
    </row>
  </sheetData>
  <conditionalFormatting sqref="A5:A14">
    <cfRule type="containsBlanks" dxfId="0" priority="1">
      <formula>LEN(TRIM(A5))=0</formula>
    </cfRule>
    <cfRule type="containsBlanks" priority="2">
      <formula>LEN(TRIM(A5))=0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B40D-4F37-421B-9CC9-C70729B39047}">
  <dimension ref="A1:O18"/>
  <sheetViews>
    <sheetView workbookViewId="0">
      <selection activeCell="L22" sqref="L22"/>
    </sheetView>
  </sheetViews>
  <sheetFormatPr defaultRowHeight="15.6" x14ac:dyDescent="0.3"/>
  <cols>
    <col min="1" max="1" width="13.5546875" style="5" bestFit="1" customWidth="1"/>
    <col min="2" max="2" width="16.33203125" style="5" bestFit="1" customWidth="1"/>
    <col min="3" max="16384" width="8.88671875" style="5"/>
  </cols>
  <sheetData>
    <row r="1" spans="1:15" x14ac:dyDescent="0.3">
      <c r="A1" s="14" t="s">
        <v>65</v>
      </c>
      <c r="B1" s="14"/>
      <c r="C1" s="14"/>
      <c r="D1" s="14"/>
      <c r="E1" s="14"/>
      <c r="F1" s="14"/>
      <c r="G1" s="14"/>
      <c r="H1" s="14"/>
      <c r="I1" s="14"/>
      <c r="J1" s="14"/>
      <c r="K1" s="14"/>
      <c r="L1" s="14"/>
      <c r="M1" s="14"/>
      <c r="N1" s="14"/>
      <c r="O1" s="14"/>
    </row>
    <row r="3" spans="1:15" x14ac:dyDescent="0.3">
      <c r="A3" s="8" t="s">
        <v>66</v>
      </c>
      <c r="B3" s="5" t="s">
        <v>68</v>
      </c>
    </row>
    <row r="4" spans="1:15" x14ac:dyDescent="0.3">
      <c r="A4" s="9" t="s">
        <v>15</v>
      </c>
      <c r="B4" s="5">
        <v>36</v>
      </c>
    </row>
    <row r="5" spans="1:15" x14ac:dyDescent="0.3">
      <c r="A5" s="9" t="s">
        <v>10</v>
      </c>
      <c r="B5" s="5">
        <v>64</v>
      </c>
    </row>
    <row r="6" spans="1:15" x14ac:dyDescent="0.3">
      <c r="A6" s="9" t="s">
        <v>67</v>
      </c>
      <c r="B6" s="5">
        <v>100</v>
      </c>
    </row>
    <row r="18" spans="1:1" x14ac:dyDescent="0.3">
      <c r="A18" s="6" t="s">
        <v>69</v>
      </c>
    </row>
  </sheetData>
  <mergeCells count="1">
    <mergeCell ref="A1:O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003C-81C4-4278-8A97-8969C07CFC4D}">
  <dimension ref="A1:O18"/>
  <sheetViews>
    <sheetView workbookViewId="0">
      <selection activeCell="B3" sqref="B3"/>
    </sheetView>
  </sheetViews>
  <sheetFormatPr defaultRowHeight="15.6" x14ac:dyDescent="0.3"/>
  <cols>
    <col min="1" max="1" width="13.5546875" style="5" bestFit="1" customWidth="1"/>
    <col min="2" max="2" width="15.109375" style="5" bestFit="1" customWidth="1"/>
    <col min="3" max="16384" width="8.88671875" style="5"/>
  </cols>
  <sheetData>
    <row r="1" spans="1:15" x14ac:dyDescent="0.3">
      <c r="A1" s="14" t="s">
        <v>70</v>
      </c>
      <c r="B1" s="14"/>
      <c r="C1" s="14"/>
      <c r="D1" s="14"/>
      <c r="E1" s="14"/>
      <c r="F1" s="14"/>
      <c r="G1" s="14"/>
      <c r="H1" s="14"/>
      <c r="I1" s="14"/>
      <c r="J1" s="14"/>
      <c r="K1" s="14"/>
      <c r="L1" s="14"/>
      <c r="M1" s="14"/>
      <c r="N1" s="14"/>
      <c r="O1" s="14"/>
    </row>
    <row r="3" spans="1:15" x14ac:dyDescent="0.3">
      <c r="A3" s="8" t="s">
        <v>66</v>
      </c>
      <c r="B3" s="5" t="s">
        <v>71</v>
      </c>
    </row>
    <row r="4" spans="1:15" x14ac:dyDescent="0.3">
      <c r="A4" s="9">
        <v>0</v>
      </c>
      <c r="B4" s="5">
        <v>41</v>
      </c>
    </row>
    <row r="5" spans="1:15" x14ac:dyDescent="0.3">
      <c r="A5" s="9">
        <v>1</v>
      </c>
      <c r="B5" s="5">
        <v>59</v>
      </c>
    </row>
    <row r="6" spans="1:15" x14ac:dyDescent="0.3">
      <c r="A6" s="9" t="s">
        <v>67</v>
      </c>
      <c r="B6" s="5">
        <v>100</v>
      </c>
    </row>
    <row r="18" spans="1:1" x14ac:dyDescent="0.3">
      <c r="A18" s="6" t="s">
        <v>72</v>
      </c>
    </row>
  </sheetData>
  <mergeCells count="1">
    <mergeCell ref="A1:O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5ADA-E3DC-49AD-BE12-0264EE0E4132}">
  <dimension ref="A1:O20"/>
  <sheetViews>
    <sheetView workbookViewId="0">
      <selection sqref="A1:O1"/>
    </sheetView>
  </sheetViews>
  <sheetFormatPr defaultRowHeight="15.6" x14ac:dyDescent="0.3"/>
  <cols>
    <col min="1" max="1" width="37.44140625" style="5" bestFit="1" customWidth="1"/>
    <col min="2" max="2" width="18.33203125" style="5" bestFit="1" customWidth="1"/>
    <col min="3" max="16384" width="8.88671875" style="5"/>
  </cols>
  <sheetData>
    <row r="1" spans="1:15" x14ac:dyDescent="0.3">
      <c r="A1" s="14" t="s">
        <v>73</v>
      </c>
      <c r="B1" s="14"/>
      <c r="C1" s="14"/>
      <c r="D1" s="14"/>
      <c r="E1" s="14"/>
      <c r="F1" s="14"/>
      <c r="G1" s="14"/>
      <c r="H1" s="14"/>
      <c r="I1" s="14"/>
      <c r="J1" s="14"/>
      <c r="K1" s="14"/>
      <c r="L1" s="14"/>
      <c r="M1" s="14"/>
      <c r="N1" s="14"/>
      <c r="O1" s="14"/>
    </row>
    <row r="3" spans="1:15" x14ac:dyDescent="0.3">
      <c r="A3" s="8" t="s">
        <v>66</v>
      </c>
      <c r="B3" s="5" t="s">
        <v>74</v>
      </c>
    </row>
    <row r="4" spans="1:15" x14ac:dyDescent="0.3">
      <c r="A4" s="9" t="s">
        <v>36</v>
      </c>
      <c r="B4" s="5">
        <v>1</v>
      </c>
    </row>
    <row r="5" spans="1:15" x14ac:dyDescent="0.3">
      <c r="A5" s="9" t="s">
        <v>42</v>
      </c>
      <c r="B5" s="5">
        <v>1</v>
      </c>
    </row>
    <row r="6" spans="1:15" x14ac:dyDescent="0.3">
      <c r="A6" s="9" t="s">
        <v>26</v>
      </c>
      <c r="B6" s="5">
        <v>1</v>
      </c>
    </row>
    <row r="7" spans="1:15" x14ac:dyDescent="0.3">
      <c r="A7" s="9" t="s">
        <v>25</v>
      </c>
      <c r="B7" s="5">
        <v>4</v>
      </c>
    </row>
    <row r="8" spans="1:15" x14ac:dyDescent="0.3">
      <c r="A8" s="9" t="s">
        <v>37</v>
      </c>
      <c r="B8" s="5">
        <v>4</v>
      </c>
    </row>
    <row r="9" spans="1:15" x14ac:dyDescent="0.3">
      <c r="A9" s="9" t="s">
        <v>28</v>
      </c>
      <c r="B9" s="5">
        <v>11</v>
      </c>
    </row>
    <row r="10" spans="1:15" x14ac:dyDescent="0.3">
      <c r="A10" s="9" t="s">
        <v>11</v>
      </c>
      <c r="B10" s="5">
        <v>23</v>
      </c>
    </row>
    <row r="11" spans="1:15" x14ac:dyDescent="0.3">
      <c r="A11" s="9" t="s">
        <v>21</v>
      </c>
      <c r="B11" s="5">
        <v>26</v>
      </c>
    </row>
    <row r="12" spans="1:15" x14ac:dyDescent="0.3">
      <c r="A12" s="9" t="s">
        <v>18</v>
      </c>
      <c r="B12" s="5">
        <v>29</v>
      </c>
    </row>
    <row r="13" spans="1:15" x14ac:dyDescent="0.3">
      <c r="A13" s="9" t="s">
        <v>67</v>
      </c>
      <c r="B13" s="5">
        <v>100</v>
      </c>
    </row>
    <row r="20" spans="1:1" x14ac:dyDescent="0.3">
      <c r="A20" s="6" t="s">
        <v>75</v>
      </c>
    </row>
  </sheetData>
  <mergeCells count="1">
    <mergeCell ref="A1:O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713D-9122-4F90-8BD5-50992F6063ED}">
  <dimension ref="A1:O19"/>
  <sheetViews>
    <sheetView workbookViewId="0">
      <selection sqref="A1:O1"/>
    </sheetView>
  </sheetViews>
  <sheetFormatPr defaultRowHeight="15.6" x14ac:dyDescent="0.3"/>
  <cols>
    <col min="1" max="1" width="13.5546875" style="5" bestFit="1" customWidth="1"/>
    <col min="2" max="2" width="30.5546875" style="5" bestFit="1" customWidth="1"/>
    <col min="3" max="16384" width="8.88671875" style="5"/>
  </cols>
  <sheetData>
    <row r="1" spans="1:15" x14ac:dyDescent="0.3">
      <c r="A1" s="14" t="s">
        <v>77</v>
      </c>
      <c r="B1" s="14"/>
      <c r="C1" s="14"/>
      <c r="D1" s="14"/>
      <c r="E1" s="14"/>
      <c r="F1" s="14"/>
      <c r="G1" s="14"/>
      <c r="H1" s="14"/>
      <c r="I1" s="14"/>
      <c r="J1" s="14"/>
      <c r="K1" s="14"/>
      <c r="L1" s="14"/>
      <c r="M1" s="14"/>
      <c r="N1" s="14"/>
      <c r="O1" s="14"/>
    </row>
    <row r="3" spans="1:15" x14ac:dyDescent="0.3">
      <c r="A3" s="8" t="s">
        <v>66</v>
      </c>
      <c r="B3" s="5" t="s">
        <v>78</v>
      </c>
    </row>
    <row r="4" spans="1:15" x14ac:dyDescent="0.3">
      <c r="A4" s="9" t="s">
        <v>15</v>
      </c>
      <c r="B4" s="10">
        <v>2325</v>
      </c>
    </row>
    <row r="5" spans="1:15" x14ac:dyDescent="0.3">
      <c r="A5" s="9" t="s">
        <v>10</v>
      </c>
      <c r="B5" s="10">
        <v>3165.78125</v>
      </c>
    </row>
    <row r="6" spans="1:15" x14ac:dyDescent="0.3">
      <c r="A6" s="9" t="s">
        <v>67</v>
      </c>
      <c r="B6" s="10">
        <v>2863.1</v>
      </c>
    </row>
    <row r="19" spans="1:1" x14ac:dyDescent="0.3">
      <c r="A19" s="6" t="s">
        <v>79</v>
      </c>
    </row>
  </sheetData>
  <mergeCells count="1">
    <mergeCell ref="A1:O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D291-9D4A-4120-9C72-FFD98F496ABB}">
  <dimension ref="A1:O20"/>
  <sheetViews>
    <sheetView workbookViewId="0">
      <selection sqref="A1:O1"/>
    </sheetView>
  </sheetViews>
  <sheetFormatPr defaultRowHeight="15.6" x14ac:dyDescent="0.3"/>
  <cols>
    <col min="1" max="1" width="13.5546875" style="5" bestFit="1" customWidth="1"/>
    <col min="2" max="2" width="32.77734375" style="5" bestFit="1" customWidth="1"/>
    <col min="3" max="16384" width="8.88671875" style="5"/>
  </cols>
  <sheetData>
    <row r="1" spans="1:15" x14ac:dyDescent="0.3">
      <c r="A1" s="14" t="s">
        <v>80</v>
      </c>
      <c r="B1" s="14"/>
      <c r="C1" s="14"/>
      <c r="D1" s="14"/>
      <c r="E1" s="14"/>
      <c r="F1" s="14"/>
      <c r="G1" s="14"/>
      <c r="H1" s="14"/>
      <c r="I1" s="14"/>
      <c r="J1" s="14"/>
      <c r="K1" s="14"/>
      <c r="L1" s="14"/>
      <c r="M1" s="14"/>
      <c r="N1" s="14"/>
      <c r="O1" s="14"/>
    </row>
    <row r="3" spans="1:15" x14ac:dyDescent="0.3">
      <c r="A3" s="8" t="s">
        <v>66</v>
      </c>
      <c r="B3" s="5" t="s">
        <v>76</v>
      </c>
    </row>
    <row r="4" spans="1:15" x14ac:dyDescent="0.3">
      <c r="A4" s="9">
        <v>0</v>
      </c>
      <c r="B4" s="10">
        <v>3002.439024390244</v>
      </c>
    </row>
    <row r="5" spans="1:15" x14ac:dyDescent="0.3">
      <c r="A5" s="9">
        <v>1</v>
      </c>
      <c r="B5" s="10">
        <v>2766.2711864406779</v>
      </c>
    </row>
    <row r="6" spans="1:15" x14ac:dyDescent="0.3">
      <c r="A6" s="9" t="s">
        <v>67</v>
      </c>
      <c r="B6" s="10">
        <v>2863.1</v>
      </c>
    </row>
    <row r="20" spans="1:1" x14ac:dyDescent="0.3">
      <c r="A20" s="6" t="s">
        <v>81</v>
      </c>
    </row>
  </sheetData>
  <mergeCells count="1">
    <mergeCell ref="A1:O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2289-E06C-4C07-BFEA-EC5E56E8897A}">
  <dimension ref="A1:O20"/>
  <sheetViews>
    <sheetView workbookViewId="0">
      <selection sqref="A1:O1"/>
    </sheetView>
  </sheetViews>
  <sheetFormatPr defaultRowHeight="15.6" x14ac:dyDescent="0.3"/>
  <cols>
    <col min="1" max="1" width="16.21875" style="5" bestFit="1" customWidth="1"/>
    <col min="2" max="2" width="30.5546875" style="5" bestFit="1" customWidth="1"/>
    <col min="3" max="16384" width="8.88671875" style="5"/>
  </cols>
  <sheetData>
    <row r="1" spans="1:15" x14ac:dyDescent="0.3">
      <c r="A1" s="14" t="s">
        <v>83</v>
      </c>
      <c r="B1" s="14"/>
      <c r="C1" s="14"/>
      <c r="D1" s="14"/>
      <c r="E1" s="14"/>
      <c r="F1" s="14"/>
      <c r="G1" s="14"/>
      <c r="H1" s="14"/>
      <c r="I1" s="14"/>
      <c r="J1" s="14"/>
      <c r="K1" s="14"/>
      <c r="L1" s="14"/>
      <c r="M1" s="14"/>
      <c r="N1" s="14"/>
      <c r="O1" s="14"/>
    </row>
    <row r="3" spans="1:15" x14ac:dyDescent="0.3">
      <c r="A3" s="8" t="s">
        <v>66</v>
      </c>
      <c r="B3" s="5" t="s">
        <v>78</v>
      </c>
    </row>
    <row r="4" spans="1:15" x14ac:dyDescent="0.3">
      <c r="A4" s="9" t="s">
        <v>84</v>
      </c>
      <c r="B4" s="10">
        <v>6750</v>
      </c>
    </row>
    <row r="5" spans="1:15" x14ac:dyDescent="0.3">
      <c r="A5" s="9" t="s">
        <v>85</v>
      </c>
      <c r="B5" s="10">
        <v>2026.3934426229507</v>
      </c>
    </row>
    <row r="6" spans="1:15" x14ac:dyDescent="0.3">
      <c r="A6" s="9" t="s">
        <v>86</v>
      </c>
      <c r="B6" s="10">
        <v>4032.4324324324325</v>
      </c>
    </row>
    <row r="7" spans="1:15" x14ac:dyDescent="0.3">
      <c r="A7" s="9" t="s">
        <v>67</v>
      </c>
      <c r="B7" s="10">
        <v>2863.1</v>
      </c>
    </row>
    <row r="20" spans="1:1" x14ac:dyDescent="0.3">
      <c r="A20" s="6" t="s">
        <v>87</v>
      </c>
    </row>
  </sheetData>
  <mergeCells count="1">
    <mergeCell ref="A1:O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B919-51F7-4D61-9917-C89860BE5992}">
  <dimension ref="A1:O20"/>
  <sheetViews>
    <sheetView workbookViewId="0">
      <selection sqref="A1:O1"/>
    </sheetView>
  </sheetViews>
  <sheetFormatPr defaultRowHeight="15.6" x14ac:dyDescent="0.3"/>
  <cols>
    <col min="1" max="1" width="25.21875" style="5" bestFit="1" customWidth="1"/>
    <col min="2" max="2" width="25.88671875" style="5" bestFit="1" customWidth="1"/>
    <col min="3" max="16384" width="8.88671875" style="5"/>
  </cols>
  <sheetData>
    <row r="1" spans="1:15" x14ac:dyDescent="0.3">
      <c r="A1" s="14" t="s">
        <v>92</v>
      </c>
      <c r="B1" s="14"/>
      <c r="C1" s="14"/>
      <c r="D1" s="14"/>
      <c r="E1" s="14"/>
      <c r="F1" s="14"/>
      <c r="G1" s="14"/>
      <c r="H1" s="14"/>
      <c r="I1" s="14"/>
      <c r="J1" s="14"/>
      <c r="K1" s="14"/>
      <c r="L1" s="14"/>
      <c r="M1" s="14"/>
      <c r="N1" s="14"/>
      <c r="O1" s="14"/>
    </row>
    <row r="3" spans="1:15" x14ac:dyDescent="0.3">
      <c r="A3" s="8" t="s">
        <v>66</v>
      </c>
      <c r="B3" s="5" t="s">
        <v>88</v>
      </c>
    </row>
    <row r="4" spans="1:15" x14ac:dyDescent="0.3">
      <c r="A4" s="9" t="s">
        <v>12</v>
      </c>
      <c r="B4" s="5">
        <v>24</v>
      </c>
    </row>
    <row r="5" spans="1:15" x14ac:dyDescent="0.3">
      <c r="A5" s="9" t="s">
        <v>30</v>
      </c>
      <c r="B5" s="5">
        <v>24</v>
      </c>
    </row>
    <row r="6" spans="1:15" x14ac:dyDescent="0.3">
      <c r="A6" s="9" t="s">
        <v>16</v>
      </c>
      <c r="B6" s="5">
        <v>18</v>
      </c>
    </row>
    <row r="7" spans="1:15" x14ac:dyDescent="0.3">
      <c r="A7" s="9" t="s">
        <v>34</v>
      </c>
      <c r="B7" s="5">
        <v>15</v>
      </c>
    </row>
    <row r="8" spans="1:15" x14ac:dyDescent="0.3">
      <c r="A8" s="9" t="s">
        <v>22</v>
      </c>
      <c r="B8" s="5">
        <v>10</v>
      </c>
    </row>
    <row r="9" spans="1:15" x14ac:dyDescent="0.3">
      <c r="A9" s="9" t="s">
        <v>89</v>
      </c>
      <c r="B9" s="5">
        <v>7</v>
      </c>
    </row>
    <row r="10" spans="1:15" x14ac:dyDescent="0.3">
      <c r="A10" s="9" t="s">
        <v>44</v>
      </c>
      <c r="B10" s="5">
        <v>1</v>
      </c>
    </row>
    <row r="11" spans="1:15" x14ac:dyDescent="0.3">
      <c r="A11" s="9" t="s">
        <v>27</v>
      </c>
      <c r="B11" s="5">
        <v>1</v>
      </c>
    </row>
    <row r="12" spans="1:15" x14ac:dyDescent="0.3">
      <c r="A12" s="9" t="s">
        <v>67</v>
      </c>
      <c r="B12" s="5">
        <v>100</v>
      </c>
    </row>
    <row r="20" spans="1:1" x14ac:dyDescent="0.3">
      <c r="A20" s="6" t="s">
        <v>90</v>
      </c>
    </row>
  </sheetData>
  <mergeCells count="1">
    <mergeCell ref="A1:O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E445-C5ED-4D93-AE2A-3E5BEB116ADC}">
  <dimension ref="A1:O23"/>
  <sheetViews>
    <sheetView workbookViewId="0">
      <selection sqref="A1:O1"/>
    </sheetView>
  </sheetViews>
  <sheetFormatPr defaultRowHeight="15.6" x14ac:dyDescent="0.3"/>
  <cols>
    <col min="1" max="1" width="42.6640625" style="5" bestFit="1" customWidth="1"/>
    <col min="2" max="2" width="16.109375" style="5" bestFit="1" customWidth="1"/>
    <col min="3" max="16384" width="8.88671875" style="5"/>
  </cols>
  <sheetData>
    <row r="1" spans="1:15" x14ac:dyDescent="0.3">
      <c r="A1" s="14" t="s">
        <v>91</v>
      </c>
      <c r="B1" s="14"/>
      <c r="C1" s="14"/>
      <c r="D1" s="14"/>
      <c r="E1" s="14"/>
      <c r="F1" s="14"/>
      <c r="G1" s="14"/>
      <c r="H1" s="14"/>
      <c r="I1" s="14"/>
      <c r="J1" s="14"/>
      <c r="K1" s="14"/>
      <c r="L1" s="14"/>
      <c r="M1" s="14"/>
      <c r="N1" s="14"/>
      <c r="O1" s="14"/>
    </row>
    <row r="3" spans="1:15" x14ac:dyDescent="0.3">
      <c r="A3" s="8" t="s">
        <v>66</v>
      </c>
      <c r="B3" s="5" t="s">
        <v>93</v>
      </c>
    </row>
    <row r="4" spans="1:15" x14ac:dyDescent="0.3">
      <c r="A4" s="9" t="s">
        <v>14</v>
      </c>
      <c r="B4" s="5">
        <v>28</v>
      </c>
    </row>
    <row r="5" spans="1:15" x14ac:dyDescent="0.3">
      <c r="A5" s="9" t="s">
        <v>29</v>
      </c>
      <c r="B5" s="5">
        <v>26</v>
      </c>
    </row>
    <row r="6" spans="1:15" x14ac:dyDescent="0.3">
      <c r="A6" s="9" t="s">
        <v>20</v>
      </c>
      <c r="B6" s="5">
        <v>12</v>
      </c>
    </row>
    <row r="7" spans="1:15" x14ac:dyDescent="0.3">
      <c r="A7" s="9" t="s">
        <v>35</v>
      </c>
      <c r="B7" s="5">
        <v>10</v>
      </c>
    </row>
    <row r="8" spans="1:15" x14ac:dyDescent="0.3">
      <c r="A8" s="9" t="s">
        <v>31</v>
      </c>
      <c r="B8" s="5">
        <v>9</v>
      </c>
    </row>
    <row r="9" spans="1:15" x14ac:dyDescent="0.3">
      <c r="A9" s="9" t="s">
        <v>33</v>
      </c>
      <c r="B9" s="5">
        <v>8</v>
      </c>
    </row>
    <row r="10" spans="1:15" x14ac:dyDescent="0.3">
      <c r="A10" s="9" t="s">
        <v>40</v>
      </c>
      <c r="B10" s="5">
        <v>6</v>
      </c>
    </row>
    <row r="11" spans="1:15" x14ac:dyDescent="0.3">
      <c r="A11" s="9" t="s">
        <v>94</v>
      </c>
      <c r="B11" s="5">
        <v>1</v>
      </c>
    </row>
    <row r="12" spans="1:15" x14ac:dyDescent="0.3">
      <c r="A12" s="9" t="s">
        <v>67</v>
      </c>
      <c r="B12" s="5">
        <v>100</v>
      </c>
    </row>
    <row r="23" spans="1:1" x14ac:dyDescent="0.3">
      <c r="A23" s="6" t="s">
        <v>95</v>
      </c>
    </row>
  </sheetData>
  <mergeCells count="1">
    <mergeCell ref="A1:O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689C-BE83-4397-BDBC-AB446307120D}">
  <dimension ref="A1:Q18"/>
  <sheetViews>
    <sheetView workbookViewId="0">
      <selection activeCell="E22" sqref="E22"/>
    </sheetView>
  </sheetViews>
  <sheetFormatPr defaultRowHeight="15.6" x14ac:dyDescent="0.3"/>
  <cols>
    <col min="1" max="1" width="42.6640625" style="5" bestFit="1" customWidth="1"/>
    <col min="2" max="2" width="18" style="5" bestFit="1" customWidth="1"/>
    <col min="3" max="6" width="2.109375" style="5" bestFit="1" customWidth="1"/>
    <col min="7" max="7" width="3.21875" style="5" bestFit="1" customWidth="1"/>
    <col min="8" max="11" width="2.109375" style="5" bestFit="1" customWidth="1"/>
    <col min="12" max="16" width="3.21875" style="5" bestFit="1" customWidth="1"/>
    <col min="17" max="17" width="11.6640625" style="5" bestFit="1" customWidth="1"/>
    <col min="18" max="16384" width="8.88671875" style="5"/>
  </cols>
  <sheetData>
    <row r="1" spans="1:17" x14ac:dyDescent="0.3">
      <c r="A1" s="14" t="s">
        <v>106</v>
      </c>
      <c r="B1" s="14"/>
      <c r="C1" s="14"/>
      <c r="D1" s="14"/>
      <c r="E1" s="14"/>
      <c r="F1" s="14"/>
      <c r="G1" s="14"/>
      <c r="H1" s="14"/>
      <c r="I1" s="14"/>
      <c r="J1" s="14"/>
      <c r="K1" s="14"/>
      <c r="L1" s="14"/>
      <c r="M1" s="14"/>
      <c r="N1" s="14"/>
      <c r="O1" s="14"/>
    </row>
    <row r="3" spans="1:17" x14ac:dyDescent="0.3">
      <c r="A3" s="8" t="s">
        <v>68</v>
      </c>
      <c r="B3" s="8" t="s">
        <v>98</v>
      </c>
    </row>
    <row r="4" spans="1:17" x14ac:dyDescent="0.3">
      <c r="A4" s="8" t="s">
        <v>97</v>
      </c>
      <c r="B4" s="10">
        <v>0</v>
      </c>
      <c r="C4" s="10">
        <v>1</v>
      </c>
      <c r="D4" s="10">
        <v>2</v>
      </c>
      <c r="E4" s="10">
        <v>3</v>
      </c>
      <c r="F4" s="10">
        <v>4</v>
      </c>
      <c r="G4" s="10">
        <v>5</v>
      </c>
      <c r="H4" s="10">
        <v>6</v>
      </c>
      <c r="I4" s="10">
        <v>7</v>
      </c>
      <c r="J4" s="10">
        <v>8</v>
      </c>
      <c r="K4" s="10">
        <v>9</v>
      </c>
      <c r="L4" s="10">
        <v>10</v>
      </c>
      <c r="M4" s="10">
        <v>15</v>
      </c>
      <c r="N4" s="10">
        <v>20</v>
      </c>
      <c r="O4" s="10">
        <v>21</v>
      </c>
      <c r="P4" s="10">
        <v>25</v>
      </c>
      <c r="Q4" s="10" t="s">
        <v>67</v>
      </c>
    </row>
    <row r="5" spans="1:17" x14ac:dyDescent="0.3">
      <c r="A5" s="9" t="s">
        <v>14</v>
      </c>
      <c r="E5" s="5">
        <v>1</v>
      </c>
      <c r="F5" s="5">
        <v>2</v>
      </c>
      <c r="G5" s="5">
        <v>4</v>
      </c>
      <c r="H5" s="5">
        <v>2</v>
      </c>
      <c r="I5" s="5">
        <v>2</v>
      </c>
      <c r="J5" s="5">
        <v>6</v>
      </c>
      <c r="L5" s="5">
        <v>9</v>
      </c>
      <c r="M5" s="5">
        <v>1</v>
      </c>
      <c r="N5" s="5">
        <v>1</v>
      </c>
      <c r="Q5" s="5">
        <v>28</v>
      </c>
    </row>
    <row r="6" spans="1:17" x14ac:dyDescent="0.3">
      <c r="A6" s="9" t="s">
        <v>29</v>
      </c>
      <c r="C6" s="5">
        <v>2</v>
      </c>
      <c r="D6" s="5">
        <v>4</v>
      </c>
      <c r="F6" s="5">
        <v>1</v>
      </c>
      <c r="G6" s="5">
        <v>8</v>
      </c>
      <c r="H6" s="5">
        <v>3</v>
      </c>
      <c r="I6" s="5">
        <v>1</v>
      </c>
      <c r="J6" s="5">
        <v>1</v>
      </c>
      <c r="L6" s="5">
        <v>6</v>
      </c>
      <c r="Q6" s="5">
        <v>26</v>
      </c>
    </row>
    <row r="7" spans="1:17" x14ac:dyDescent="0.3">
      <c r="A7" s="9" t="s">
        <v>20</v>
      </c>
      <c r="C7" s="5">
        <v>1</v>
      </c>
      <c r="D7" s="5">
        <v>1</v>
      </c>
      <c r="F7" s="5">
        <v>1</v>
      </c>
      <c r="K7" s="5">
        <v>1</v>
      </c>
      <c r="L7" s="5">
        <v>3</v>
      </c>
      <c r="M7" s="5">
        <v>4</v>
      </c>
      <c r="P7" s="5">
        <v>1</v>
      </c>
      <c r="Q7" s="5">
        <v>12</v>
      </c>
    </row>
    <row r="8" spans="1:17" x14ac:dyDescent="0.3">
      <c r="A8" s="9" t="s">
        <v>35</v>
      </c>
      <c r="G8" s="5">
        <v>3</v>
      </c>
      <c r="L8" s="5">
        <v>5</v>
      </c>
      <c r="M8" s="5">
        <v>2</v>
      </c>
      <c r="Q8" s="5">
        <v>10</v>
      </c>
    </row>
    <row r="9" spans="1:17" x14ac:dyDescent="0.3">
      <c r="A9" s="9" t="s">
        <v>31</v>
      </c>
      <c r="B9" s="5">
        <v>1</v>
      </c>
      <c r="D9" s="5">
        <v>1</v>
      </c>
      <c r="G9" s="5">
        <v>1</v>
      </c>
      <c r="L9" s="5">
        <v>4</v>
      </c>
      <c r="M9" s="5">
        <v>2</v>
      </c>
      <c r="Q9" s="5">
        <v>9</v>
      </c>
    </row>
    <row r="10" spans="1:17" x14ac:dyDescent="0.3">
      <c r="A10" s="9" t="s">
        <v>33</v>
      </c>
      <c r="E10" s="5">
        <v>2</v>
      </c>
      <c r="F10" s="5">
        <v>1</v>
      </c>
      <c r="G10" s="5">
        <v>3</v>
      </c>
      <c r="H10" s="5">
        <v>1</v>
      </c>
      <c r="L10" s="5">
        <v>1</v>
      </c>
      <c r="Q10" s="5">
        <v>8</v>
      </c>
    </row>
    <row r="11" spans="1:17" x14ac:dyDescent="0.3">
      <c r="A11" s="9" t="s">
        <v>40</v>
      </c>
      <c r="F11" s="5">
        <v>1</v>
      </c>
      <c r="G11" s="5">
        <v>1</v>
      </c>
      <c r="J11" s="5">
        <v>1</v>
      </c>
      <c r="L11" s="5">
        <v>2</v>
      </c>
      <c r="O11" s="5">
        <v>1</v>
      </c>
      <c r="Q11" s="5">
        <v>6</v>
      </c>
    </row>
    <row r="12" spans="1:17" x14ac:dyDescent="0.3">
      <c r="A12" s="9" t="s">
        <v>94</v>
      </c>
      <c r="E12" s="5">
        <v>1</v>
      </c>
      <c r="Q12" s="5">
        <v>1</v>
      </c>
    </row>
    <row r="13" spans="1:17" x14ac:dyDescent="0.3">
      <c r="A13" s="9" t="s">
        <v>67</v>
      </c>
      <c r="B13" s="5">
        <v>1</v>
      </c>
      <c r="C13" s="5">
        <v>3</v>
      </c>
      <c r="D13" s="5">
        <v>6</v>
      </c>
      <c r="E13" s="5">
        <v>4</v>
      </c>
      <c r="F13" s="5">
        <v>6</v>
      </c>
      <c r="G13" s="5">
        <v>20</v>
      </c>
      <c r="H13" s="5">
        <v>6</v>
      </c>
      <c r="I13" s="5">
        <v>3</v>
      </c>
      <c r="J13" s="5">
        <v>8</v>
      </c>
      <c r="K13" s="5">
        <v>1</v>
      </c>
      <c r="L13" s="5">
        <v>30</v>
      </c>
      <c r="M13" s="5">
        <v>9</v>
      </c>
      <c r="N13" s="5">
        <v>1</v>
      </c>
      <c r="O13" s="5">
        <v>1</v>
      </c>
      <c r="P13" s="5">
        <v>1</v>
      </c>
      <c r="Q13" s="5">
        <v>100</v>
      </c>
    </row>
    <row r="18" spans="1:1" x14ac:dyDescent="0.3">
      <c r="A18" s="6" t="s">
        <v>99</v>
      </c>
    </row>
  </sheetData>
  <mergeCells count="1">
    <mergeCell ref="A1:O1"/>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DE018-001C-4265-AEF9-5616C8C0A27C}">
  <dimension ref="A1:O27"/>
  <sheetViews>
    <sheetView workbookViewId="0">
      <selection activeCell="A27" sqref="A27:XFD27"/>
    </sheetView>
  </sheetViews>
  <sheetFormatPr defaultRowHeight="15.6" x14ac:dyDescent="0.3"/>
  <cols>
    <col min="1" max="1" width="15.33203125" style="5" bestFit="1" customWidth="1"/>
    <col min="2" max="2" width="23.77734375" style="5" customWidth="1"/>
    <col min="3" max="3" width="38.5546875" style="5" bestFit="1" customWidth="1"/>
    <col min="4" max="4" width="6.109375" style="5" bestFit="1" customWidth="1"/>
    <col min="5" max="5" width="15" style="5" bestFit="1" customWidth="1"/>
    <col min="6" max="6" width="39.21875" style="5" bestFit="1" customWidth="1"/>
    <col min="7" max="7" width="33.44140625" style="5" bestFit="1" customWidth="1"/>
    <col min="8" max="8" width="9.33203125" style="5" bestFit="1" customWidth="1"/>
    <col min="9" max="9" width="16.109375" style="5" bestFit="1" customWidth="1"/>
    <col min="10" max="10" width="10.5546875" style="5" bestFit="1" customWidth="1"/>
    <col min="11" max="16384" width="8.88671875" style="5"/>
  </cols>
  <sheetData>
    <row r="1" spans="1:15" x14ac:dyDescent="0.3">
      <c r="A1" s="14" t="s">
        <v>96</v>
      </c>
      <c r="B1" s="14"/>
      <c r="C1" s="14"/>
      <c r="D1" s="14"/>
      <c r="E1" s="14"/>
      <c r="F1" s="14"/>
      <c r="G1" s="14"/>
      <c r="H1" s="14"/>
      <c r="I1" s="14"/>
      <c r="J1" s="14"/>
      <c r="K1" s="14"/>
      <c r="L1" s="14"/>
      <c r="M1" s="14"/>
      <c r="N1" s="14"/>
      <c r="O1" s="14"/>
    </row>
    <row r="3" spans="1:15" x14ac:dyDescent="0.3">
      <c r="A3" s="8" t="s">
        <v>68</v>
      </c>
      <c r="B3" s="8" t="s">
        <v>97</v>
      </c>
    </row>
    <row r="4" spans="1:15" x14ac:dyDescent="0.3">
      <c r="A4" s="8" t="s">
        <v>105</v>
      </c>
      <c r="B4" s="5" t="s">
        <v>31</v>
      </c>
      <c r="C4" s="5" t="s">
        <v>35</v>
      </c>
      <c r="D4" s="5" t="s">
        <v>94</v>
      </c>
      <c r="E4" s="5" t="s">
        <v>29</v>
      </c>
      <c r="F4" s="5" t="s">
        <v>20</v>
      </c>
      <c r="G4" s="5" t="s">
        <v>33</v>
      </c>
      <c r="H4" s="5" t="s">
        <v>40</v>
      </c>
      <c r="I4" s="5" t="s">
        <v>14</v>
      </c>
      <c r="J4" s="5" t="s">
        <v>67</v>
      </c>
    </row>
    <row r="5" spans="1:15" x14ac:dyDescent="0.3">
      <c r="A5" s="9" t="s">
        <v>104</v>
      </c>
      <c r="B5" s="13">
        <v>6.6666666666666666E-2</v>
      </c>
      <c r="C5" s="13">
        <v>0.13333333333333333</v>
      </c>
      <c r="D5" s="13">
        <v>1.6666666666666666E-2</v>
      </c>
      <c r="E5" s="13">
        <v>0.31666666666666665</v>
      </c>
      <c r="F5" s="13">
        <v>0.11666666666666667</v>
      </c>
      <c r="G5" s="13">
        <v>6.6666666666666666E-2</v>
      </c>
      <c r="H5" s="13">
        <v>1.6666666666666666E-2</v>
      </c>
      <c r="I5" s="13">
        <v>0.26666666666666666</v>
      </c>
      <c r="J5" s="13">
        <v>1</v>
      </c>
    </row>
    <row r="6" spans="1:15" x14ac:dyDescent="0.3">
      <c r="A6" s="9" t="s">
        <v>101</v>
      </c>
      <c r="B6" s="13">
        <v>0.14285714285714285</v>
      </c>
      <c r="C6" s="13">
        <v>5.7142857142857141E-2</v>
      </c>
      <c r="D6" s="13">
        <v>0</v>
      </c>
      <c r="E6" s="13">
        <v>0.17142857142857143</v>
      </c>
      <c r="F6" s="13">
        <v>0.11428571428571428</v>
      </c>
      <c r="G6" s="13">
        <v>0.11428571428571428</v>
      </c>
      <c r="H6" s="13">
        <v>8.5714285714285715E-2</v>
      </c>
      <c r="I6" s="13">
        <v>0.31428571428571428</v>
      </c>
      <c r="J6" s="13">
        <v>1</v>
      </c>
    </row>
    <row r="7" spans="1:15" x14ac:dyDescent="0.3">
      <c r="A7" s="9" t="s">
        <v>102</v>
      </c>
      <c r="B7" s="13">
        <v>0</v>
      </c>
      <c r="C7" s="13">
        <v>0</v>
      </c>
      <c r="D7" s="13">
        <v>0</v>
      </c>
      <c r="E7" s="13">
        <v>0</v>
      </c>
      <c r="F7" s="13">
        <v>0</v>
      </c>
      <c r="G7" s="13">
        <v>0</v>
      </c>
      <c r="H7" s="13">
        <v>0.66666666666666663</v>
      </c>
      <c r="I7" s="13">
        <v>0.33333333333333331</v>
      </c>
      <c r="J7" s="13">
        <v>1</v>
      </c>
    </row>
    <row r="8" spans="1:15" x14ac:dyDescent="0.3">
      <c r="A8" s="9" t="s">
        <v>103</v>
      </c>
      <c r="B8" s="13">
        <v>0</v>
      </c>
      <c r="C8" s="13">
        <v>0</v>
      </c>
      <c r="D8" s="13">
        <v>0</v>
      </c>
      <c r="E8" s="13">
        <v>0.5</v>
      </c>
      <c r="F8" s="13">
        <v>0.5</v>
      </c>
      <c r="G8" s="13">
        <v>0</v>
      </c>
      <c r="H8" s="13">
        <v>0</v>
      </c>
      <c r="I8" s="13">
        <v>0</v>
      </c>
      <c r="J8" s="13">
        <v>1</v>
      </c>
    </row>
    <row r="9" spans="1:15" x14ac:dyDescent="0.3">
      <c r="A9" s="9" t="s">
        <v>67</v>
      </c>
      <c r="B9" s="13">
        <v>0.09</v>
      </c>
      <c r="C9" s="13">
        <v>0.1</v>
      </c>
      <c r="D9" s="13">
        <v>0.01</v>
      </c>
      <c r="E9" s="13">
        <v>0.26</v>
      </c>
      <c r="F9" s="13">
        <v>0.12</v>
      </c>
      <c r="G9" s="13">
        <v>0.08</v>
      </c>
      <c r="H9" s="13">
        <v>0.06</v>
      </c>
      <c r="I9" s="13">
        <v>0.28000000000000003</v>
      </c>
      <c r="J9" s="13">
        <v>1</v>
      </c>
    </row>
    <row r="27" spans="1:1" x14ac:dyDescent="0.3">
      <c r="A27" s="6" t="s">
        <v>107</v>
      </c>
    </row>
  </sheetData>
  <mergeCells count="1">
    <mergeCell ref="A1:O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investment_survey</vt:lpstr>
      <vt:lpstr>WORKSHEET</vt:lpstr>
      <vt:lpstr>INSTRUCTIONS</vt:lpstr>
      <vt:lpstr>Finding 1</vt:lpstr>
      <vt:lpstr>Finding 2</vt:lpstr>
      <vt:lpstr>Findind 3</vt:lpstr>
      <vt:lpstr>Finding 4</vt:lpstr>
      <vt:lpstr>Finding 5</vt:lpstr>
      <vt:lpstr>Finding 6</vt:lpstr>
      <vt:lpstr>Finding 7</vt:lpstr>
      <vt:lpstr>Finding 8</vt:lpstr>
      <vt:lpstr>Finding 9</vt:lpstr>
      <vt:lpstr>Finding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Elohor Efere</dc:creator>
  <cp:lastModifiedBy>Elohor Efere</cp:lastModifiedBy>
  <dcterms:created xsi:type="dcterms:W3CDTF">2026-02-24T16:46:13Z</dcterms:created>
  <dcterms:modified xsi:type="dcterms:W3CDTF">2026-03-05T08:47:27Z</dcterms:modified>
</cp:coreProperties>
</file>